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spreadsheetml.sheetMetadata+xml" PartName="/xl/metadata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ms-excel.threadedcomments+xml" PartName="/xl/threadedComments/threadedComment1.xml"/>
  <Override ContentType="application/vnd.openxmlformats-officedocument.drawing+xml" PartName="/xl/drawings/drawing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table+xml" PartName="/xl/tables/table2.xml"/>
  <Override ContentType="application/vnd.openxmlformats-officedocument.spreadsheetml.comments+xml" PartName="/xl/comments2.xml"/>
  <Override ContentType="application/vnd.ms-excel.threadedcomments+xml" PartName="/xl/threadedComments/threadedComment2.xml"/>
  <Override ContentType="application/vnd.openxmlformats-officedocument.drawing+xml" PartName="/xl/drawings/drawing4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openxmlformats-officedocument.spreadsheetml.table+xml" PartName="/xl/tables/table3.xml"/>
  <Override ContentType="application/vnd.openxmlformats-officedocument.spreadsheetml.comments+xml" PartName="/xl/comments3.xml"/>
  <Override ContentType="application/vnd.ms-excel.threadedcomments+xml" PartName="/xl/threadedComments/threadedComment3.xml"/>
  <Override ContentType="application/vnd.openxmlformats-officedocument.drawing+xml" PartName="/xl/drawings/drawing5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openxmlformats-officedocument.spreadsheetml.table+xml" PartName="/xl/tables/table4.xml"/>
  <Override ContentType="application/vnd.openxmlformats-officedocument.spreadsheetml.comments+xml" PartName="/xl/comments4.xml"/>
  <Override ContentType="application/vnd.ms-excel.threadedcomments+xml" PartName="/xl/threadedComments/threadedComment4.xml"/>
  <Override ContentType="application/vnd.openxmlformats-officedocument.drawing+xml" PartName="/xl/drawings/drawing6.xml"/>
  <Override ContentType="application/vnd.ms-excel.controlproperties+xml" PartName="/xl/ctrlProps/ctrlProp13.xml"/>
  <Override ContentType="application/vnd.ms-excel.controlproperties+xml" PartName="/xl/ctrlProps/ctrlProp14.xml"/>
  <Override ContentType="application/vnd.ms-excel.controlproperties+xml" PartName="/xl/ctrlProps/ctrlProp15.xml"/>
  <Override ContentType="application/vnd.openxmlformats-officedocument.spreadsheetml.table+xml" PartName="/xl/tables/table5.xml"/>
  <Override ContentType="application/vnd.openxmlformats-officedocument.spreadsheetml.comments+xml" PartName="/xl/comments5.xml"/>
  <Override ContentType="application/vnd.ms-excel.threadedcomments+xml" PartName="/xl/threadedComments/threadedComment5.xml"/>
  <Override ContentType="application/vnd.ms-excel.person+xml" PartName="/xl/persons/perso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5\1_simulation_inputs\"/>
    </mc:Choice>
  </mc:AlternateContent>
  <xr:revisionPtr revIDLastSave="0" documentId="13_ncr:1_{0AED5852-5FA5-4A8E-9464-5A49996759A1}" xr6:coauthVersionLast="47" xr6:coauthVersionMax="47" xr10:uidLastSave="{00000000-0000-0000-0000-000000000000}"/>
  <bookViews>
    <workbookView xWindow="3315" yWindow="690" windowWidth="21210" windowHeight="13920" tabRatio="818" activeTab="5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true">'Adsorber Design'!$A$8:$J$8</definedName>
    <definedName name="_xlnm._FilterDatabase" localSheetId="4" hidden="true">'Adsorber Packing'!$A$8:$J$8</definedName>
    <definedName name="_xlnm._FilterDatabase" localSheetId="3" hidden="true">Geometry!$A$8:$J$8</definedName>
    <definedName name="_xlnm._FilterDatabase" localSheetId="2" hidden="true">Initialization!$A$8:$J$8</definedName>
    <definedName name="_xlnm._FilterDatabase" localSheetId="6" hidden="true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tc={855A74DB-6D76-B440-8179-8298933D5524}</author>
    <author>tc={F43C97A6-F7D1-7146-882D-AAA8215A72F1}</author>
    <author>tc={33C7DDB6-B0F7-6E4B-9ACB-6463A54CF433}</author>
  </authors>
  <commentList>
    <comment ref="G8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>
  <authors>
    <author>tc={9A8B1F84-B3DF-164B-A3BA-167595E4E39E}</author>
    <author>tc={DD2DB5E7-0BE2-2741-82E0-81328A4E121F}</author>
    <author>tc={45AD0834-D243-D54F-B65B-68EFB1FB2F4E}</author>
  </authors>
  <commentList>
    <comment ref="G8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>
  <authors>
    <author>tc={9F70F694-8BFD-5F45-BAAF-8C96E17EAE71}</author>
    <author>tc={2AB62911-0592-7148-807F-2395912B8CFB}</author>
    <author>tc={B9284979-1F53-6C42-B1BB-35E9AA2B6E07}</author>
  </authors>
  <commentList>
    <comment ref="G8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>
  <authors>
    <author>tc={9C094753-09F5-4AE4-818D-B8A8B3AE571B}</author>
    <author>tc={6C278506-3489-4911-8C75-B1A34FB6DB6D}</author>
    <author>tc={19828CF7-A8D5-4881-A13F-5FF203151D6A}</author>
  </authors>
  <commentList>
    <comment ref="G8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>
  <authors>
    <author>tc={B33F54E8-F5DD-4FD7-827E-56A8D3D93CF9}</author>
    <author>tc={C37A90FE-2888-4963-8404-F359F50F80AE}</author>
    <author>tc={192400E2-DB21-460A-8FDB-3E57AAFC5B4A}</author>
  </authors>
  <commentList>
    <comment ref="G8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<sst xmlns="http://schemas.openxmlformats.org/spreadsheetml/2006/main" count="49898" uniqueCount="49718">
  <si>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</si>
  <si>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</si>
  <si>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</si>
  <si>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</si>
  <si>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</si>
  <si>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</si>
  <si>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</si>
  <si>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</si>
  <si>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</si>
  <si>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</si>
  <si>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</si>
  <si>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</si>
  <si>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</si>
  <si>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</si>
  <si>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</si>
  <si>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</si>
  <si>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</si>
  <si>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</si>
  <si>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</si>
  <si>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</si>
  <si>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</si>
  <si>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</si>
  <si>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</si>
  <si>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</si>
  <si>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</si>
  <si>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</si>
  <si>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</si>
  <si>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</si>
  <si>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</si>
  <si>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</si>
  <si>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</si>
  <si>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</si>
  <si>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</si>
  <si>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</si>
  <si>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</si>
  <si>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</si>
  <si>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</si>
  <si>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</si>
  <si>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</si>
  <si>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</si>
  <si>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</si>
  <si>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</si>
  <si>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</si>
  <si>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</si>
  <si>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</si>
  <si>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</si>
  <si>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</si>
  <si>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</si>
  <si>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</si>
  <si>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</si>
  <si>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</si>
  <si>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</si>
  <si>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</si>
  <si>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</si>
  <si>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</si>
  <si>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</si>
  <si>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</si>
  <si>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</si>
  <si>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</si>
  <si>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</si>
  <si>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</si>
  <si>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</si>
  <si>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</si>
  <si>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</si>
  <si>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</si>
  <si>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</si>
  <si>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</si>
  <si>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</si>
  <si>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</si>
  <si>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</si>
  <si>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</si>
  <si>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</si>
  <si>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</si>
  <si>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</si>
  <si>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</si>
  <si>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</si>
  <si>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</si>
  <si>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</si>
  <si>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</si>
  <si>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</si>
  <si>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</si>
  <si>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</si>
  <si>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</si>
  <si>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</si>
  <si>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</si>
  <si>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</si>
  <si>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</si>
  <si>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</si>
  <si>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</si>
  <si>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</si>
  <si>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</si>
  <si>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</si>
  <si>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</si>
  <si>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</si>
  <si>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</si>
  <si>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</si>
  <si>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</si>
  <si>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</si>
  <si>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</si>
  <si>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</si>
  <si>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</si>
  <si>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</si>
  <si>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</si>
  <si>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</si>
  <si>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</si>
  <si>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</si>
  <si>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</si>
  <si>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</si>
  <si>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</si>
  <si>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</si>
  <si>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</si>
  <si>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</si>
  <si>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</si>
  <si>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</si>
  <si>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</si>
  <si>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</si>
  <si>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</si>
  <si>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</si>
  <si>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</si>
  <si>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</si>
  <si>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</si>
  <si>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</si>
  <si>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</si>
  <si>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</si>
  <si>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</si>
  <si>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</si>
  <si>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</si>
  <si>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</si>
  <si>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</si>
  <si>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</si>
  <si>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</si>
  <si>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</si>
  <si>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</si>
  <si>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</si>
  <si>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</si>
  <si>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</si>
  <si>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</si>
  <si>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</si>
  <si>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</si>
  <si>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</si>
  <si>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</si>
  <si>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</si>
  <si>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</si>
  <si>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</si>
  <si>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</si>
  <si>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</si>
  <si>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</si>
  <si>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</si>
  <si>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</si>
  <si>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</si>
  <si>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</si>
  <si>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</si>
  <si>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</si>
  <si>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</si>
  <si>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</si>
  <si>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</si>
  <si>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</si>
  <si>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</si>
  <si>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</si>
  <si>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</si>
  <si>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</si>
  <si>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</si>
  <si>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</si>
  <si>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</si>
  <si>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</si>
  <si>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</si>
  <si>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</si>
  <si>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</si>
  <si>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</si>
  <si>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</si>
  <si>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</si>
  <si>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</si>
  <si>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</si>
  <si>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</si>
  <si>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</si>
  <si>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</si>
  <si>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</si>
  <si>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</si>
  <si>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</si>
  <si>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</si>
  <si>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</si>
  <si>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</si>
  <si>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</si>
  <si>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</si>
  <si>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</si>
  <si>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</si>
  <si>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</si>
  <si>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</si>
  <si>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</si>
  <si>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</si>
  <si>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</si>
  <si>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</si>
  <si>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</si>
  <si>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</si>
  <si>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</si>
  <si>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</si>
  <si>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</si>
  <si>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</si>
  <si>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</si>
  <si>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</si>
  <si>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</si>
  <si>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</si>
  <si>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</si>
  <si>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</si>
  <si>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</si>
  <si>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</si>
  <si>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</si>
  <si>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</si>
  <si>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</si>
  <si>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</si>
  <si>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</si>
  <si>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</si>
  <si>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</si>
  <si>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</si>
  <si>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</si>
  <si>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</si>
  <si>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</si>
  <si>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</si>
  <si>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</si>
  <si>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</si>
  <si>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</si>
  <si>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</si>
  <si>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</si>
  <si>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</si>
  <si>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</si>
  <si>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</si>
  <si>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</si>
  <si>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</si>
  <si>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</si>
  <si>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</si>
  <si>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</si>
  <si>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</si>
  <si>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</si>
  <si>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</si>
  <si>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</si>
  <si>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</si>
  <si>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</si>
  <si>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</si>
  <si>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</si>
  <si>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</si>
  <si>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</si>
  <si>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</si>
  <si>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</si>
  <si>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</si>
  <si>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</si>
  <si>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</si>
  <si>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</si>
  <si>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</si>
  <si>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</si>
  <si>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</si>
  <si>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</si>
  <si>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</si>
  <si>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</si>
  <si>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</si>
  <si>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</si>
  <si>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</si>
  <si>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</si>
  <si>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</si>
  <si>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</si>
  <si>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</si>
  <si>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</si>
  <si>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</si>
  <si>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</si>
  <si>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</si>
  <si>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</si>
  <si>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</si>
  <si>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</si>
  <si>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</si>
  <si>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</si>
  <si>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</si>
  <si>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</si>
  <si>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</si>
  <si>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</si>
  <si>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</si>
  <si>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</si>
  <si>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</si>
  <si>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</si>
  <si>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</si>
  <si>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</si>
  <si>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</si>
  <si>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</si>
  <si>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</si>
  <si>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</si>
  <si>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</si>
  <si>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</si>
  <si>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</si>
  <si>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</si>
  <si>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</si>
  <si>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</si>
  <si>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</si>
  <si>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</si>
  <si>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</si>
  <si>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</si>
  <si>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</si>
  <si>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</si>
  <si>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</si>
  <si>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</si>
  <si>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</si>
  <si>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</si>
  <si>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</si>
  <si>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</si>
  <si>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</si>
  <si>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</si>
  <si>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</si>
  <si>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</si>
  <si>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</si>
  <si>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</si>
  <si>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</si>
  <si>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</si>
  <si>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</si>
  <si>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</si>
  <si>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</si>
  <si>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</si>
  <si>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</si>
  <si>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</si>
  <si>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</si>
  <si>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</si>
  <si>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</si>
  <si>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</si>
  <si>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</si>
  <si>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</si>
  <si>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</si>
  <si>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</si>
  <si>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</si>
  <si>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</si>
  <si>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</si>
  <si>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</si>
  <si>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</si>
  <si>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</si>
  <si>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</si>
  <si>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</si>
  <si>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</si>
  <si>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</si>
  <si>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</si>
  <si>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</si>
  <si>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</si>
  <si>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</si>
  <si>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</si>
  <si>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</si>
  <si>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</si>
  <si>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</si>
  <si>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</si>
  <si>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</si>
  <si>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</si>
  <si>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</si>
  <si>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</si>
  <si>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</si>
  <si>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</si>
  <si>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</si>
  <si>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</si>
  <si>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</si>
  <si>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</si>
  <si>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</si>
  <si>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</si>
  <si>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</si>
  <si>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</si>
  <si>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</si>
  <si>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</si>
  <si>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</si>
  <si>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</si>
  <si>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</si>
  <si>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</si>
  <si>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</si>
  <si>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</si>
  <si>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</si>
  <si>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</si>
  <si>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</si>
  <si>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</si>
  <si>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</si>
  <si>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</si>
  <si>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</si>
  <si>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</si>
  <si>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</si>
  <si>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</si>
  <si>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</si>
  <si>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</si>
  <si>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</si>
  <si>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</si>
  <si>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</si>
  <si>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</si>
  <si>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</si>
  <si>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</si>
  <si>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</si>
  <si>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</si>
  <si>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</si>
  <si>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</si>
  <si>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</si>
  <si>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</si>
  <si>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</si>
  <si>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</si>
  <si>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</si>
  <si>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</si>
  <si>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</si>
  <si>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</si>
  <si>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</si>
  <si>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</si>
  <si>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</si>
  <si>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</si>
  <si>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</si>
  <si>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</si>
  <si>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</si>
  <si>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</si>
  <si>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</si>
  <si>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</si>
  <si>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</si>
  <si>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</si>
  <si>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</si>
  <si>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</si>
  <si>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</si>
  <si>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</si>
  <si>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</si>
  <si>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</si>
  <si>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</si>
  <si>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</si>
  <si>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</si>
  <si>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</si>
  <si>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</si>
  <si>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</si>
  <si>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</si>
  <si>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</si>
  <si>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</si>
  <si>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</si>
  <si>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</si>
  <si>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</si>
  <si>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</si>
  <si>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</si>
  <si>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</si>
  <si>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</si>
  <si>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</si>
  <si>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</si>
  <si>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</si>
  <si>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</si>
  <si>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</si>
  <si>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</si>
  <si>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</si>
  <si>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</si>
  <si>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</si>
  <si>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</si>
  <si>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</si>
  <si>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</si>
  <si>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</si>
  <si>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</si>
  <si>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</si>
  <si>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</si>
  <si>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</si>
  <si>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</si>
  <si>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</si>
  <si>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</si>
  <si>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</si>
  <si>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</si>
  <si>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</si>
  <si>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</si>
  <si>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</si>
  <si>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</si>
  <si>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</si>
  <si>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</si>
  <si>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</si>
  <si>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</si>
  <si>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</si>
  <si>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</si>
  <si>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</si>
  <si>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</si>
  <si>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</si>
  <si>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</si>
  <si>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</si>
  <si>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</si>
  <si>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</si>
  <si>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</si>
  <si>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</si>
  <si>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</si>
  <si>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</si>
  <si>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</si>
  <si>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</si>
  <si>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</si>
  <si>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</si>
  <si>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</si>
  <si>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</si>
  <si>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</si>
  <si>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</si>
  <si>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</si>
  <si>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</si>
  <si>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</si>
  <si>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</si>
  <si>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</si>
  <si>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</si>
  <si>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</si>
  <si>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</si>
  <si>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</si>
  <si>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</si>
  <si>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</si>
  <si>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</si>
  <si>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</si>
  <si>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</si>
  <si>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</si>
  <si>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</si>
  <si>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</si>
  <si>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</si>
  <si>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</si>
  <si>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</si>
  <si>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</si>
  <si>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</si>
  <si>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</si>
  <si>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</si>
  <si>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</si>
  <si>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</si>
  <si>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</si>
  <si>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</si>
  <si>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</si>
  <si>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</si>
  <si>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</si>
  <si>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</si>
  <si>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</si>
  <si>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</si>
  <si>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</si>
  <si>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</si>
  <si>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</si>
  <si>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</si>
  <si>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</si>
  <si>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</si>
  <si>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</si>
  <si>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</si>
  <si>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</si>
  <si>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</si>
  <si>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</si>
  <si>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</si>
  <si>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</si>
  <si>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</si>
  <si>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</si>
  <si>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</si>
  <si>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</si>
  <si>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</si>
  <si>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</si>
  <si>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</si>
  <si>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</si>
  <si>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</si>
  <si>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</si>
  <si>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</si>
  <si>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</si>
  <si>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</si>
  <si>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</si>
  <si>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</si>
  <si>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</si>
  <si>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</si>
  <si>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</si>
  <si>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</si>
  <si>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</si>
  <si>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</si>
  <si>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</si>
  <si>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</si>
  <si>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</si>
  <si>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</si>
  <si>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</si>
  <si>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</si>
  <si>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</si>
  <si>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</si>
  <si>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</si>
  <si>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</si>
  <si>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</si>
  <si>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</si>
  <si>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</si>
  <si>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</si>
  <si>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</si>
  <si>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</si>
  <si>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</si>
  <si>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</si>
  <si>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</si>
  <si>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</si>
  <si>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</si>
  <si>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</si>
  <si>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</si>
  <si>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</si>
  <si>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</si>
  <si>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</si>
  <si>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</si>
  <si>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</si>
  <si>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</si>
  <si>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</si>
  <si>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</si>
  <si>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</si>
  <si>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</si>
  <si>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</si>
  <si>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</si>
  <si>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</si>
  <si>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</si>
  <si>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</si>
  <si>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</si>
  <si>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</si>
  <si>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</si>
  <si>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</si>
  <si>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</si>
  <si>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</si>
  <si>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</si>
  <si>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</si>
  <si>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</si>
  <si>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</si>
  <si>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</si>
  <si>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</si>
  <si>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</si>
  <si>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</si>
  <si>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</si>
  <si>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</si>
  <si>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</si>
  <si>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</si>
  <si>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</si>
  <si>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</si>
  <si>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</si>
  <si>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</si>
  <si>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</si>
  <si>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</si>
  <si>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</si>
  <si>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</si>
  <si>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</si>
  <si>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</si>
  <si>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</si>
  <si>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</si>
  <si>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</si>
  <si>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</si>
  <si>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</si>
  <si>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</si>
  <si>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</si>
  <si>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</si>
  <si>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</si>
  <si>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</si>
  <si>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</si>
  <si>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</si>
  <si>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</si>
  <si>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</si>
  <si>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</si>
  <si>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</si>
  <si>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</si>
  <si>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</si>
  <si>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</si>
  <si>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</si>
  <si>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</si>
  <si>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</si>
  <si>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</si>
  <si>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</si>
  <si>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</si>
  <si>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</si>
  <si>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</si>
  <si>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</si>
  <si>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</si>
  <si>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</si>
  <si>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</si>
  <si>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</si>
  <si>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</si>
  <si>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</si>
  <si>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</si>
  <si>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</si>
  <si>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</si>
  <si>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</si>
  <si>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</si>
  <si>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</si>
  <si>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</si>
  <si>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</si>
  <si>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</si>
  <si>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</si>
  <si>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</si>
  <si>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</si>
  <si>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</si>
  <si>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</si>
  <si>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</si>
  <si>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</si>
  <si>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</si>
  <si>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</si>
  <si>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</si>
  <si>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</si>
  <si>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</si>
  <si>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</si>
  <si>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</si>
  <si>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</si>
  <si>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</si>
  <si>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</si>
  <si>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</si>
  <si>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</si>
  <si>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</si>
  <si>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</si>
  <si>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</si>
  <si>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</si>
  <si>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</si>
  <si>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</si>
  <si>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</si>
  <si>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</si>
  <si>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</si>
  <si>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</si>
  <si>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</si>
  <si>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</si>
  <si>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</si>
  <si>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</si>
  <si>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</si>
  <si>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</si>
  <si>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</si>
  <si>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</si>
  <si>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</si>
  <si>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</si>
  <si>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</si>
  <si>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</si>
  <si>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</si>
  <si>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</si>
  <si>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</si>
  <si>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</si>
  <si>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</si>
  <si>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</si>
  <si>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</si>
  <si>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</si>
  <si>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</si>
  <si>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</si>
  <si>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</si>
  <si>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</si>
  <si>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</si>
  <si>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</si>
  <si>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</si>
  <si>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</si>
  <si>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</si>
  <si>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</si>
  <si>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</si>
  <si>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</si>
  <si>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</si>
  <si>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</si>
  <si>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</si>
  <si>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</si>
  <si>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</si>
  <si>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</si>
  <si>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</si>
  <si>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</si>
  <si>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</si>
  <si>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</si>
  <si>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</si>
  <si>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</si>
  <si>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</si>
  <si>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</si>
  <si>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</si>
  <si>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</si>
  <si>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</si>
  <si>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</si>
  <si>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</si>
  <si>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</si>
  <si>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</si>
  <si>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</si>
  <si>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</si>
  <si>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</si>
  <si>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</si>
  <si>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</si>
  <si>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</si>
  <si>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</si>
  <si>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</si>
  <si>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</si>
  <si>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</si>
  <si>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</si>
  <si>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</si>
  <si>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</si>
  <si>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</si>
  <si>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</si>
  <si>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</si>
  <si>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</si>
  <si>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</si>
  <si>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</si>
  <si>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</si>
  <si>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</si>
  <si>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</si>
  <si>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</si>
  <si>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</si>
  <si>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</si>
  <si>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</si>
  <si>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</si>
  <si>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</si>
  <si>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</si>
  <si>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</si>
  <si>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</si>
  <si>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</si>
  <si>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</si>
  <si>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</si>
  <si>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</si>
  <si>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</si>
  <si>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</si>
  <si>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</si>
  <si>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</si>
  <si>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</si>
  <si>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</si>
  <si>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</si>
  <si>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</si>
  <si>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</si>
  <si>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</si>
  <si>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</si>
  <si>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</si>
  <si>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</si>
  <si>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</si>
  <si>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</si>
  <si>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</si>
  <si>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</si>
  <si>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</si>
  <si>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</si>
  <si>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</si>
  <si>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</si>
  <si>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</si>
  <si>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</si>
  <si>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</si>
  <si>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</si>
  <si>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</si>
  <si>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</si>
  <si>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</si>
  <si>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</si>
  <si>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</si>
  <si>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</si>
  <si>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</si>
  <si>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</si>
  <si>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</si>
  <si>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</si>
  <si>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</si>
  <si>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</si>
  <si>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</si>
  <si>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</si>
  <si>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</si>
  <si>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</si>
  <si>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</si>
  <si>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</si>
  <si>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</si>
  <si>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</si>
  <si>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</si>
  <si>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</si>
  <si>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</si>
  <si>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</si>
  <si>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</si>
  <si>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</si>
  <si>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</si>
  <si>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</si>
  <si>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</si>
  <si>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</si>
  <si>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</si>
  <si>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</si>
  <si>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</si>
  <si>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</si>
  <si>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</si>
  <si>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</si>
  <si>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</si>
  <si>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</si>
  <si>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</si>
  <si>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</si>
  <si>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</si>
  <si>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</si>
  <si>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</si>
  <si>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</si>
  <si>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</si>
  <si>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</si>
  <si>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</si>
  <si>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</si>
  <si>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</si>
  <si>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</si>
  <si>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</si>
  <si>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</si>
  <si>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</si>
  <si>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</si>
  <si>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</si>
  <si>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</si>
  <si>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</si>
  <si>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</si>
  <si>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</si>
  <si>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</si>
  <si>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</si>
  <si>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</si>
  <si>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</si>
  <si>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</si>
  <si>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</si>
  <si>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</si>
  <si>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</si>
  <si>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</si>
  <si>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</si>
  <si>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</si>
  <si>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</si>
  <si>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</si>
  <si>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</si>
  <si>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</si>
  <si>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</si>
  <si>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</si>
  <si>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</si>
  <si>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</si>
  <si>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</si>
  <si>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</si>
  <si>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</si>
  <si>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</si>
  <si>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</si>
  <si>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</si>
  <si>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</si>
  <si>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</si>
  <si>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</si>
  <si>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</si>
  <si>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</si>
  <si>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</si>
  <si>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</si>
  <si>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</si>
  <si>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</si>
  <si>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</si>
  <si>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</si>
  <si>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</si>
  <si>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</si>
  <si>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</si>
  <si>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</si>
  <si>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</si>
  <si>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</si>
  <si>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</si>
  <si>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</si>
  <si>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</si>
  <si>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</si>
  <si>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</si>
  <si>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</si>
  <si>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</si>
  <si>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</si>
  <si>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</si>
  <si>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</si>
  <si>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</si>
  <si>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</si>
  <si>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</si>
  <si>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</si>
  <si>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</si>
  <si>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</si>
  <si>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</si>
  <si>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</si>
  <si>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</si>
  <si>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</si>
  <si>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</si>
  <si>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</si>
  <si>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</si>
  <si>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</si>
  <si>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</si>
  <si>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</si>
  <si>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</si>
  <si>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</si>
  <si>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</si>
  <si>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</si>
  <si>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</si>
  <si>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</si>
  <si>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</si>
  <si>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</si>
  <si>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</si>
  <si>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</si>
  <si>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</si>
  <si>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</si>
  <si>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</si>
  <si>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</si>
  <si>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</si>
  <si>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</si>
  <si>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</si>
  <si>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</si>
  <si>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</si>
  <si>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</si>
  <si>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</si>
  <si>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</si>
  <si>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</si>
  <si>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</si>
  <si>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</si>
  <si>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</si>
  <si>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</si>
  <si>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</si>
  <si>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</si>
  <si>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</si>
  <si>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</si>
  <si>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</si>
  <si>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</si>
  <si>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</si>
  <si>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</si>
  <si>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</si>
  <si>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</si>
  <si>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</si>
  <si>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</si>
  <si>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</si>
  <si>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</si>
  <si>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</si>
  <si>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</si>
  <si>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</si>
  <si>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</si>
  <si>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</si>
  <si>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</si>
  <si>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</si>
  <si>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</si>
  <si>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</si>
  <si>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</si>
  <si>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</si>
  <si>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</si>
  <si>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</si>
  <si>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</si>
  <si>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</si>
  <si>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</si>
  <si>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</si>
  <si>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</si>
  <si>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</si>
  <si>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</si>
  <si>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</si>
  <si>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</si>
  <si>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</si>
  <si>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</si>
  <si>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</si>
  <si>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</si>
  <si>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</si>
  <si>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</si>
  <si>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</si>
  <si>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</si>
  <si>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</si>
  <si>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</si>
  <si>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</si>
  <si>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</si>
  <si>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</si>
  <si>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</si>
  <si>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</si>
  <si>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</si>
  <si>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</si>
  <si>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</si>
  <si>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</si>
  <si>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</si>
  <si>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</si>
  <si>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</si>
  <si>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</si>
  <si>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</si>
  <si>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</si>
  <si>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</si>
  <si>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</si>
  <si>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</si>
  <si>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</si>
  <si>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</si>
  <si>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</si>
  <si>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</si>
  <si>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</si>
  <si>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</si>
  <si>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</si>
  <si>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</si>
  <si>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</si>
  <si>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</si>
  <si>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</si>
  <si>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</si>
  <si>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</si>
  <si>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</si>
  <si>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</si>
  <si>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</si>
  <si>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</si>
  <si>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</si>
  <si>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</si>
  <si>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</si>
  <si>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</si>
  <si>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</si>
  <si>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</si>
  <si>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</si>
  <si>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</si>
  <si>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</si>
  <si>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</si>
  <si>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</si>
  <si>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</si>
  <si>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</si>
  <si>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</si>
  <si>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</si>
  <si>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</si>
  <si>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</si>
  <si>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</si>
  <si>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</si>
  <si>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</si>
  <si>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</si>
  <si>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</si>
  <si>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</si>
  <si>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</si>
  <si>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</si>
  <si>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</si>
  <si>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</si>
  <si>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</si>
  <si>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</si>
  <si>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</si>
  <si>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</si>
  <si>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</si>
  <si>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</si>
  <si>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</si>
  <si>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</si>
  <si>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</si>
  <si>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</si>
  <si>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</si>
  <si>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</si>
  <si>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</si>
  <si>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</si>
  <si>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</si>
  <si>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</si>
  <si>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</si>
  <si>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</si>
  <si>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</si>
  <si>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</si>
  <si>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</si>
  <si>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</si>
  <si>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</si>
  <si>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</si>
  <si>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</si>
  <si>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</si>
  <si>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</si>
  <si>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</si>
  <si>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</si>
  <si>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</si>
  <si>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</si>
  <si>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</si>
  <si>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</si>
  <si>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</si>
  <si>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</si>
  <si>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</si>
  <si>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</si>
  <si>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</si>
  <si>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</si>
  <si>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</si>
  <si>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</si>
  <si>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</si>
  <si>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</si>
  <si>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</si>
  <si>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</si>
  <si>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</si>
  <si>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</si>
  <si>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</si>
  <si>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</si>
  <si>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</si>
  <si>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</si>
  <si>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</si>
  <si>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</si>
  <si>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</si>
  <si>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</si>
  <si>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</si>
  <si>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</si>
  <si>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</si>
  <si>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</si>
  <si>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</si>
  <si>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</si>
  <si>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</si>
  <si>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</si>
  <si>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</si>
  <si>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</si>
  <si>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</si>
  <si>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</si>
  <si>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</si>
  <si>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</si>
  <si>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</si>
  <si>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</si>
  <si>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</si>
  <si>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</si>
  <si>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</si>
  <si>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</si>
  <si>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</si>
  <si>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</si>
  <si>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</si>
  <si>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</si>
  <si>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</si>
  <si>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</si>
  <si>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</si>
  <si>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</si>
  <si>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</si>
  <si>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</si>
  <si>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</si>
  <si>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</si>
  <si>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</si>
  <si>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</si>
  <si>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</si>
  <si>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</si>
  <si>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</si>
  <si>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</si>
  <si>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</si>
  <si>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</si>
  <si>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</si>
  <si>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</si>
  <si>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</si>
  <si>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</si>
  <si>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</si>
  <si>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</si>
  <si>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</si>
  <si>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</si>
  <si>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</si>
  <si>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</si>
  <si>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</si>
  <si>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</si>
  <si>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</si>
  <si>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</si>
  <si>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</si>
  <si>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</si>
  <si>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</si>
  <si>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</si>
  <si>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</si>
  <si>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</si>
  <si>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</si>
  <si>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</si>
  <si>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</si>
  <si>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</si>
  <si>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</si>
  <si>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</si>
  <si>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</si>
  <si>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</si>
  <si>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</si>
  <si>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</si>
  <si>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</si>
  <si>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</si>
  <si>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</si>
  <si>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</si>
  <si>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</si>
  <si>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</si>
  <si>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</si>
  <si>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</si>
  <si>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</si>
  <si>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</si>
  <si>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</si>
  <si>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</si>
  <si>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</si>
  <si>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</si>
  <si>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</si>
  <si>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</si>
  <si>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</si>
  <si>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</si>
  <si>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</si>
  <si>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</si>
  <si>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</si>
  <si>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</si>
  <si>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</si>
  <si>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</si>
  <si>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</si>
  <si>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</si>
  <si>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</si>
  <si>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</si>
  <si>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</si>
  <si>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</si>
  <si>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</si>
  <si>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</si>
  <si>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</si>
  <si>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</si>
  <si>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</si>
  <si>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</si>
  <si>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</si>
  <si>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</si>
  <si>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</si>
  <si>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</si>
  <si>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</si>
  <si>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</si>
  <si>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</si>
  <si>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</si>
  <si>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</si>
  <si>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</si>
  <si>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</si>
  <si>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</si>
  <si>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</si>
  <si>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</si>
  <si>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</si>
  <si>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</si>
  <si>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</si>
  <si>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</si>
  <si>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</si>
  <si>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</si>
  <si>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</si>
  <si>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</si>
  <si>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</si>
  <si>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</si>
  <si>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</si>
  <si>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</si>
  <si>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</si>
  <si>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</si>
  <si>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</si>
  <si>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</si>
  <si>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</si>
  <si>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</si>
  <si>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</si>
  <si>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</si>
  <si>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</si>
  <si>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</si>
  <si>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</si>
  <si>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</si>
  <si>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</si>
  <si>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</si>
  <si>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</si>
  <si>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</si>
  <si>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</si>
  <si>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</si>
  <si>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</si>
  <si>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</si>
  <si>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</si>
  <si>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</si>
  <si>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</si>
  <si>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</si>
  <si>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</si>
  <si>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</si>
  <si>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</si>
  <si>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</si>
  <si>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</si>
  <si>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</si>
  <si>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</si>
  <si>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</si>
  <si>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</si>
  <si>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</si>
  <si>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</si>
  <si>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</si>
  <si>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</si>
  <si>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</si>
  <si>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</si>
  <si>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</si>
  <si>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</si>
  <si>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</si>
  <si>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</si>
  <si>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</si>
  <si>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</si>
  <si>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</si>
  <si>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</si>
  <si>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</si>
  <si>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</si>
  <si>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</si>
  <si>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</si>
  <si>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</si>
  <si>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</si>
  <si>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</si>
  <si>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</si>
  <si>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</si>
  <si>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</si>
  <si>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</si>
  <si>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</si>
  <si>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</si>
  <si>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</si>
  <si>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</si>
  <si>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</si>
  <si>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</si>
  <si>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</si>
  <si>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</si>
  <si>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</si>
  <si>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</si>
  <si>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</si>
  <si>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</si>
  <si>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</si>
  <si>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</si>
  <si>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</si>
  <si>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</si>
  <si>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</si>
  <si>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</si>
  <si>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</si>
  <si>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</si>
  <si>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</si>
  <si>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</si>
  <si>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</si>
  <si>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</si>
  <si>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</si>
  <si>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</si>
  <si>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</si>
  <si>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</si>
  <si>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</si>
  <si>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</si>
  <si>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</si>
  <si>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</si>
  <si>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</si>
  <si>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</si>
  <si>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</si>
  <si>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</si>
  <si>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</si>
  <si>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</si>
  <si>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</si>
  <si>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</si>
  <si>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</si>
  <si>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</si>
  <si>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</si>
  <si>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</si>
  <si>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</si>
  <si>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</si>
  <si>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</si>
  <si>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</si>
  <si>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</si>
  <si>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</si>
  <si>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</si>
  <si>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</si>
  <si>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</si>
  <si>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</si>
  <si>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</si>
  <si>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</si>
  <si>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</si>
  <si>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</si>
  <si>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</si>
  <si>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</si>
  <si>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</si>
  <si>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</si>
  <si>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</si>
  <si>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</si>
  <si>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</si>
  <si>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</si>
  <si>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</si>
  <si>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</si>
  <si>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</si>
  <si>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</si>
  <si>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</si>
  <si>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</si>
  <si>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</si>
  <si>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</si>
  <si>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</si>
  <si>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</si>
  <si>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</si>
  <si>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</si>
  <si>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</si>
  <si>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</si>
  <si>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</si>
  <si>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</si>
  <si>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</si>
  <si>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</si>
  <si>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</si>
  <si>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</si>
  <si>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</si>
  <si>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</si>
  <si>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</si>
  <si>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</si>
  <si>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</si>
  <si>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</si>
  <si>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</si>
  <si>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</si>
  <si>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</si>
  <si>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</si>
  <si>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</si>
  <si>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</si>
  <si>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</si>
  <si>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</si>
  <si>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</si>
  <si>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</si>
  <si>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</si>
  <si>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</si>
  <si>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</si>
  <si>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</si>
  <si>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</si>
  <si>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</si>
  <si>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</si>
  <si>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</si>
  <si>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</si>
  <si>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</si>
  <si>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</si>
  <si>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</si>
  <si>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</si>
  <si>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</si>
  <si>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</si>
  <si>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</si>
  <si>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</si>
  <si>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</si>
  <si>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</si>
  <si>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</si>
  <si>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</si>
  <si>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</si>
  <si>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</si>
  <si>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</si>
  <si>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</si>
  <si>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</si>
  <si>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</si>
  <si>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</si>
  <si>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</si>
  <si>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</si>
  <si>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</si>
  <si>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</si>
  <si>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</si>
  <si>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</si>
  <si>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</si>
  <si>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</si>
  <si>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</si>
  <si>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</si>
  <si>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</si>
  <si>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</si>
  <si>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</si>
  <si>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</si>
  <si>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</si>
  <si>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</si>
  <si>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</si>
  <si>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</si>
  <si>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</si>
  <si>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</si>
  <si>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</si>
  <si>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</si>
  <si>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</si>
  <si>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</si>
  <si>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</si>
  <si>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</si>
  <si>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</si>
  <si>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</si>
  <si>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</si>
  <si>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</si>
  <si>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</si>
  <si>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</si>
  <si>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</si>
  <si>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</si>
  <si>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</si>
  <si>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</si>
  <si>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</si>
  <si>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</si>
  <si>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</si>
  <si>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</si>
  <si>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</si>
  <si>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</si>
  <si>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</si>
  <si>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</si>
  <si>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</si>
  <si>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</si>
  <si>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</si>
  <si>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</si>
  <si>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</si>
  <si>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</si>
  <si>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</si>
  <si>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</si>
  <si>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</si>
  <si>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</si>
  <si>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</si>
  <si>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</si>
  <si>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</si>
  <si>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</si>
  <si>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</si>
  <si>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</si>
  <si>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</si>
  <si>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</si>
  <si>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</si>
  <si>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</si>
  <si>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</si>
  <si>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</si>
  <si>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</si>
  <si>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</si>
  <si>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</si>
  <si>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</si>
  <si>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</si>
  <si>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</si>
  <si>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</si>
  <si>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</si>
  <si>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</si>
  <si>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</si>
  <si>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</si>
  <si>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</si>
  <si>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</si>
  <si>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</si>
  <si>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</si>
  <si>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</si>
  <si>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</si>
  <si>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</si>
  <si>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</si>
  <si>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</si>
  <si>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</si>
  <si>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</si>
  <si>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</si>
  <si>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</si>
  <si>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</si>
  <si>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</si>
  <si>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</si>
  <si>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</si>
  <si>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</si>
  <si>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</si>
  <si>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</si>
  <si>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</si>
  <si>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</si>
  <si>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</si>
  <si>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</si>
  <si>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</si>
  <si>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</si>
  <si>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</si>
  <si>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</si>
  <si>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</si>
  <si>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</si>
  <si>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</si>
  <si>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</si>
  <si>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</si>
  <si>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</si>
  <si>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</si>
  <si>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</si>
  <si>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</si>
  <si>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</si>
  <si>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</si>
  <si>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</si>
  <si>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</si>
  <si>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</si>
  <si>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</si>
  <si>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</si>
  <si>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</si>
  <si>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</si>
  <si>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</si>
  <si>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</si>
  <si>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</si>
  <si>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</si>
  <si>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</si>
  <si>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</si>
  <si>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</si>
  <si>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</si>
  <si>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</si>
  <si>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</si>
  <si>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</si>
  <si>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</si>
  <si>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</si>
  <si>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</si>
  <si>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</si>
  <si>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</si>
  <si>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</si>
  <si>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</si>
  <si>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</si>
  <si>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</si>
  <si>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</si>
  <si>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</si>
  <si>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</si>
  <si>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</si>
  <si>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</si>
  <si>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</si>
  <si>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</si>
  <si>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</si>
  <si>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</si>
  <si>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</si>
  <si>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</si>
  <si>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</si>
  <si>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</si>
  <si>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</si>
  <si>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</si>
  <si>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</si>
  <si>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</si>
  <si>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</si>
  <si>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</si>
  <si>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</si>
  <si>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</si>
  <si>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</si>
  <si>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</si>
  <si>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</si>
  <si>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</si>
  <si>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</si>
  <si>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</si>
  <si>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</si>
  <si>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</si>
  <si>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</si>
  <si>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</si>
  <si>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</si>
  <si>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</si>
  <si>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</si>
  <si>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</si>
  <si>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</si>
  <si>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</si>
  <si>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</si>
  <si>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</si>
  <si>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</si>
  <si>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</si>
  <si>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</si>
  <si>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</si>
  <si>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</si>
  <si>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</si>
  <si>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</si>
  <si>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</si>
  <si>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</si>
  <si>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</si>
  <si>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</si>
  <si>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</si>
  <si>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</si>
  <si>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</si>
  <si>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</si>
  <si>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</si>
  <si>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</si>
  <si>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</si>
  <si>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</si>
  <si>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</si>
  <si>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</si>
  <si>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</si>
  <si>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</si>
  <si>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</si>
  <si>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</si>
  <si>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</si>
  <si>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</si>
  <si>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</si>
  <si>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</si>
  <si>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</si>
  <si>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</si>
  <si>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</si>
  <si>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</si>
  <si>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</si>
  <si>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</si>
  <si>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</si>
  <si>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</si>
  <si>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</si>
  <si>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</si>
  <si>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</si>
  <si>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</si>
  <si>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</si>
  <si>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</si>
  <si>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</si>
  <si>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</si>
  <si>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</si>
  <si>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</si>
  <si>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</si>
  <si>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</si>
  <si>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</si>
  <si>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</si>
  <si>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</si>
  <si>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</si>
  <si>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</si>
  <si>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</si>
  <si>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</si>
  <si>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</si>
  <si>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</si>
  <si>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</si>
  <si>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</si>
  <si>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</si>
  <si>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</si>
  <si>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</si>
  <si>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</si>
  <si>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</si>
  <si>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</si>
  <si>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</si>
  <si>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</si>
  <si>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</si>
  <si>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</si>
  <si>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</si>
  <si>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</si>
  <si>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</si>
  <si>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</si>
  <si>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</si>
  <si>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</si>
  <si>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</si>
  <si>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</si>
  <si>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</si>
  <si>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</si>
  <si>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</si>
  <si>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</si>
  <si>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</si>
  <si>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</si>
  <si>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</si>
  <si>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</si>
  <si>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</si>
  <si>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</si>
  <si>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</si>
  <si>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</si>
  <si>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</si>
  <si>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</si>
  <si>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</si>
  <si>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</si>
  <si>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</si>
  <si>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</si>
  <si>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</si>
  <si>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</si>
  <si>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</si>
  <si>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</si>
  <si>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</si>
  <si>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</si>
  <si>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</si>
  <si>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</si>
  <si>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</si>
  <si>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</si>
  <si>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</si>
  <si>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</si>
  <si>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</si>
  <si>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</si>
  <si>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</si>
  <si>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</si>
  <si>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</si>
  <si>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</si>
  <si>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</si>
  <si>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</si>
  <si>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</si>
  <si>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</si>
  <si>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</si>
  <si>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</si>
  <si>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</si>
  <si>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</si>
  <si>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</si>
  <si>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</si>
  <si>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</si>
  <si>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</si>
  <si>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</si>
  <si>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</si>
  <si>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</si>
  <si>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</si>
  <si>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</si>
  <si>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</si>
  <si>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</si>
  <si>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</si>
  <si>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</si>
  <si>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</si>
  <si>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</si>
  <si>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</si>
  <si>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</si>
  <si>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</si>
  <si>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</si>
  <si>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</si>
  <si>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</si>
  <si>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</si>
  <si>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</si>
  <si>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</si>
  <si>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</si>
  <si>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</si>
  <si>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</si>
  <si>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</si>
  <si>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</si>
  <si>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</si>
  <si>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</si>
  <si>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</si>
  <si>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</si>
  <si>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</si>
  <si>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</si>
  <si>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</si>
  <si>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</si>
  <si>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</si>
  <si>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</si>
  <si>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</si>
  <si>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</si>
  <si>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</si>
  <si>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</si>
  <si>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</si>
  <si>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</si>
  <si>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</si>
  <si>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</si>
  <si>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</si>
  <si>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</si>
  <si>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</si>
  <si>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</si>
  <si>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</si>
  <si>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</si>
  <si>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</si>
  <si>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</si>
  <si>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</si>
  <si>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</si>
  <si>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</si>
  <si>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</si>
  <si>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</si>
  <si>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</si>
  <si>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</si>
  <si>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</si>
  <si>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</si>
  <si>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</si>
  <si>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</si>
  <si>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</si>
  <si>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</si>
  <si>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</si>
  <si>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</si>
  <si>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</si>
  <si>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</si>
  <si>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</si>
  <si>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</si>
  <si>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</si>
  <si>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</si>
  <si>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</si>
  <si>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</si>
  <si>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</si>
  <si>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</si>
  <si>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</si>
  <si>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</si>
  <si>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</si>
  <si>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</si>
  <si>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</si>
  <si>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</si>
  <si>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</si>
  <si>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</si>
  <si>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</si>
  <si>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</si>
  <si>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</si>
  <si>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</si>
  <si>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</si>
  <si>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</si>
  <si>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</si>
  <si>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</si>
  <si>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</si>
  <si>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</si>
  <si>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</si>
  <si>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</si>
  <si>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</si>
  <si>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</si>
  <si>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</si>
  <si>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</si>
  <si>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</si>
  <si>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</si>
  <si>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</si>
  <si>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</si>
  <si>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</si>
  <si>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</si>
  <si>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</si>
  <si>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</si>
  <si>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</si>
  <si>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</si>
  <si>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</si>
  <si>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</si>
  <si>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</si>
  <si>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</si>
  <si>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</si>
  <si>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</si>
  <si>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</si>
  <si>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</si>
  <si>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</si>
  <si>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</si>
  <si>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</si>
  <si>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</si>
  <si>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</si>
  <si>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</si>
  <si>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</si>
  <si>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</si>
  <si>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</si>
  <si>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</si>
  <si>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</si>
  <si>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</si>
  <si>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</si>
  <si>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</si>
  <si>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</si>
  <si>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</si>
  <si>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</si>
  <si>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</si>
  <si>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</si>
  <si>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</si>
  <si>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</si>
  <si>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</si>
  <si>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</si>
  <si>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</si>
  <si>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</si>
  <si>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</si>
  <si>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</si>
  <si>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</si>
  <si>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</si>
  <si>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</si>
  <si>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</si>
  <si>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</si>
  <si>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</si>
  <si>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</si>
  <si>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</si>
  <si>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</si>
  <si>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</si>
  <si>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</si>
  <si>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</si>
  <si>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</si>
  <si>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</si>
  <si>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</si>
  <si>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</si>
  <si>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</si>
  <si>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</si>
  <si>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</si>
  <si>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</si>
  <si>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</si>
  <si>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</si>
  <si>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</si>
  <si>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</si>
  <si>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</si>
  <si>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</si>
  <si>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</si>
  <si>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</si>
  <si>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</si>
  <si>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</si>
  <si>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</si>
  <si>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</si>
  <si>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</si>
  <si>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</si>
  <si>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</si>
  <si>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</si>
  <si>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</si>
  <si>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</si>
  <si>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</si>
  <si>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</si>
  <si>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</si>
  <si>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</si>
  <si>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</si>
  <si>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</si>
  <si>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</si>
  <si>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</si>
  <si>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</si>
  <si>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</si>
  <si>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</si>
  <si>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</si>
  <si>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</si>
  <si>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</si>
  <si>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</si>
  <si>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</si>
  <si>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</si>
  <si>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</si>
  <si>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</si>
  <si>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</si>
  <si>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</si>
  <si>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</si>
  <si>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</si>
  <si>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</si>
  <si>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</si>
  <si>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</si>
  <si>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</si>
  <si>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</si>
  <si>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</si>
  <si>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</si>
  <si>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</si>
  <si>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</si>
  <si>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</si>
  <si>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</si>
  <si>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</si>
  <si>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</si>
  <si>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</si>
  <si>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</si>
  <si>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</si>
  <si>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</si>
  <si>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</si>
  <si>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</si>
  <si>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</si>
  <si>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</si>
  <si>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</si>
  <si>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</si>
  <si>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</si>
  <si>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</si>
  <si>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</si>
  <si>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</si>
  <si>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</si>
  <si>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</si>
  <si>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</si>
  <si>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</si>
  <si>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</si>
  <si>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</si>
  <si>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</si>
  <si>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</si>
  <si>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</si>
  <si>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</si>
  <si>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</si>
  <si>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</si>
  <si>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</si>
  <si>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</si>
  <si>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</si>
  <si>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</si>
  <si>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</si>
  <si>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</si>
  <si>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</si>
  <si>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</si>
  <si>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</si>
  <si>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</si>
  <si>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</si>
  <si>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</si>
  <si>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</si>
  <si>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</si>
  <si>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</si>
  <si>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</si>
  <si>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</si>
  <si>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</si>
  <si>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</si>
  <si>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</si>
  <si>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</si>
  <si>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</si>
  <si>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</si>
  <si>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</si>
  <si>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</si>
  <si>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</si>
  <si>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</si>
  <si>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</si>
  <si>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</si>
  <si>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</si>
  <si>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</si>
  <si>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</si>
  <si>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</si>
  <si>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</si>
  <si>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</si>
  <si>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</si>
  <si>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</si>
  <si>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</si>
  <si>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</si>
  <si>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</si>
  <si>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</si>
  <si>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</si>
  <si>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</si>
  <si>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</si>
  <si>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</si>
  <si>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</si>
  <si>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</si>
  <si>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</si>
  <si>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</si>
  <si>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</si>
  <si>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</si>
  <si>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</si>
  <si>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</si>
  <si>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</si>
  <si>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</si>
  <si>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</si>
  <si>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</si>
  <si>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</si>
  <si>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</si>
  <si>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</si>
  <si>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</si>
  <si>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</si>
  <si>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</si>
  <si>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</si>
  <si>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</si>
  <si>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</si>
  <si>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</si>
  <si>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</si>
  <si>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</si>
  <si>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</si>
  <si>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</si>
  <si>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</si>
  <si>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</si>
  <si>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</si>
  <si>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</si>
  <si>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</si>
  <si>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</si>
  <si>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</si>
  <si>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</si>
  <si>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</si>
  <si>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</si>
  <si>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</si>
  <si>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</si>
  <si>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</si>
  <si>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</si>
  <si>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</si>
  <si>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</si>
  <si>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</si>
  <si>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</si>
  <si>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</si>
  <si>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</si>
  <si>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</si>
  <si>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</si>
  <si>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</si>
  <si>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</si>
  <si>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</si>
  <si>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</si>
  <si>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</si>
  <si>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</si>
  <si>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</si>
  <si>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</si>
  <si>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</si>
  <si>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</si>
  <si>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</si>
  <si>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</si>
  <si>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</si>
  <si>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</si>
  <si>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</si>
  <si>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</si>
  <si>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</si>
  <si>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</si>
  <si>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</si>
  <si>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</si>
  <si>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</si>
  <si>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</si>
  <si>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</si>
  <si>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</si>
  <si>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</si>
  <si>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</si>
  <si>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</si>
  <si>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</si>
  <si>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</si>
  <si>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</si>
  <si>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</si>
  <si>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</si>
  <si>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</si>
  <si>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</si>
  <si>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</si>
  <si>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</si>
  <si>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</si>
  <si>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</si>
  <si>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</si>
  <si>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</si>
  <si>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</si>
  <si>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</si>
  <si>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</si>
  <si>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</si>
  <si>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</si>
  <si>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</si>
  <si>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</si>
  <si>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</si>
  <si>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</si>
  <si>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</si>
  <si>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</si>
  <si>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</si>
  <si>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</si>
  <si>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</si>
  <si>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</si>
  <si>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</si>
  <si>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</si>
  <si>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</si>
  <si>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</si>
  <si>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</si>
  <si>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</si>
  <si>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</si>
  <si>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</si>
  <si>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</si>
  <si>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</si>
  <si>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</si>
  <si>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</si>
  <si>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</si>
  <si>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</si>
  <si>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</si>
  <si>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</si>
  <si>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</si>
  <si>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</si>
  <si>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</si>
  <si>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</si>
  <si>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</si>
  <si>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</si>
  <si>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</si>
  <si>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</si>
  <si>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</si>
  <si>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</si>
  <si>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</si>
  <si>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</si>
  <si>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</si>
  <si>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</si>
  <si>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</si>
  <si>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</si>
  <si>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</si>
  <si>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</si>
  <si>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</si>
  <si>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</si>
  <si>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</si>
  <si>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</si>
  <si>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</si>
  <si>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</si>
  <si>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</si>
  <si>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</si>
  <si>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</si>
  <si>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</si>
  <si>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</si>
  <si>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</si>
  <si>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</si>
  <si>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</si>
  <si>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</si>
  <si>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</si>
  <si>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</si>
  <si>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</si>
  <si>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</si>
  <si>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</si>
  <si>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</si>
  <si>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</si>
  <si>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</si>
  <si>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</si>
  <si>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</si>
  <si>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</si>
  <si>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</si>
  <si>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</si>
  <si>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</si>
  <si>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</si>
  <si>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</si>
  <si>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</si>
  <si>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</si>
  <si>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</si>
  <si>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</si>
  <si>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</si>
  <si>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</si>
  <si>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</si>
  <si>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</si>
  <si>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</si>
  <si>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</si>
  <si>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</si>
  <si>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</si>
  <si>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</si>
  <si>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</si>
  <si>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</si>
  <si>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</si>
  <si>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</si>
  <si>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</si>
  <si>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</si>
  <si>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</si>
  <si>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</si>
  <si>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</si>
  <si>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</si>
  <si>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</si>
  <si>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</si>
  <si>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</si>
  <si>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</si>
  <si>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</si>
  <si>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</si>
  <si>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</si>
  <si>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</si>
  <si>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</si>
  <si>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</si>
  <si>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</si>
  <si>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</si>
  <si>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</si>
  <si>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</si>
  <si>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</si>
  <si>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</si>
  <si>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</si>
  <si>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</si>
  <si>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</si>
  <si>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</si>
  <si>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</si>
  <si>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</si>
  <si>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</si>
  <si>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</si>
  <si>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</si>
  <si>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</si>
  <si>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</si>
  <si>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</si>
  <si>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</si>
  <si>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</si>
  <si>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</si>
  <si>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</si>
  <si>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</si>
  <si>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</si>
  <si>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</si>
  <si>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</si>
  <si>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</si>
  <si>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</si>
  <si>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</si>
  <si>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</si>
  <si>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</si>
  <si>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</si>
  <si>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</si>
  <si>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</si>
  <si>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</si>
  <si>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</si>
  <si>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</si>
  <si>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</si>
  <si>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</si>
  <si>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</si>
  <si>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</si>
  <si>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</si>
  <si>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</si>
  <si>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</si>
  <si>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</si>
  <si>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</si>
  <si>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</si>
  <si>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</si>
  <si>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</si>
  <si>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</si>
  <si>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</si>
  <si>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</si>
  <si>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</si>
  <si>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</si>
  <si>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</si>
  <si>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</si>
  <si>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</si>
  <si>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</si>
  <si>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</si>
  <si>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</si>
  <si>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</si>
  <si>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</si>
  <si>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</si>
  <si>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</si>
  <si>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</si>
  <si>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</si>
  <si>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</si>
  <si>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</si>
  <si>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</si>
  <si>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</si>
  <si>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</si>
  <si>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</si>
  <si>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</si>
  <si>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</si>
  <si>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</si>
  <si>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</si>
  <si>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</si>
  <si>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</si>
  <si>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</si>
  <si>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</si>
  <si>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</si>
  <si>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</si>
  <si>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</si>
  <si>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</si>
  <si>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</si>
  <si>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</si>
  <si>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</si>
  <si>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</si>
  <si>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</si>
  <si>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</si>
  <si>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</si>
  <si>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</si>
  <si>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</si>
  <si>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</si>
  <si>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</si>
  <si>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</si>
  <si>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</si>
  <si>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</si>
  <si>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</si>
  <si>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</si>
  <si>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</si>
  <si>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</si>
  <si>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</si>
  <si>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</si>
  <si>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</si>
  <si>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</si>
  <si>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</si>
  <si>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</si>
  <si>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</si>
  <si>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</si>
  <si>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</si>
  <si>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</si>
  <si>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</si>
  <si>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</si>
  <si>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</si>
  <si>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</si>
  <si>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</si>
  <si>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</si>
  <si>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</si>
  <si>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</si>
  <si>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</si>
  <si>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</si>
  <si>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</si>
  <si>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</si>
  <si>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</si>
  <si>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</si>
  <si>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</si>
  <si>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</si>
  <si>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</si>
  <si>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</si>
  <si>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</si>
  <si>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</si>
  <si>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</si>
  <si>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</si>
  <si>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</si>
  <si>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</si>
  <si>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</si>
  <si>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</si>
  <si>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</si>
  <si>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</si>
  <si>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</si>
  <si>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</si>
  <si>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</si>
  <si>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</si>
  <si>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</si>
  <si>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</si>
  <si>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</si>
  <si>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</si>
  <si>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</si>
  <si>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</si>
  <si>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</si>
  <si>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</si>
  <si>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</si>
  <si>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</si>
  <si>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</si>
  <si>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</si>
  <si>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</si>
  <si>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</si>
  <si>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</si>
  <si>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</si>
  <si>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</si>
  <si>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</si>
  <si>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</si>
  <si>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</si>
  <si>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</si>
  <si>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</si>
  <si>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</si>
  <si>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</si>
  <si>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</si>
  <si>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</si>
  <si>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</si>
  <si>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</si>
  <si>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</si>
  <si>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</si>
  <si>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</si>
  <si>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</si>
  <si>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</si>
  <si>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</si>
  <si>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</si>
  <si>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</si>
  <si>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</si>
  <si>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</si>
  <si>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</si>
  <si>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</si>
  <si>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</si>
  <si>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</si>
  <si>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</si>
  <si>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</si>
  <si>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</si>
  <si>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</si>
  <si>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</si>
  <si>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</si>
  <si>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</si>
  <si>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</si>
  <si>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</si>
  <si>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</si>
  <si>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</si>
  <si>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</si>
  <si>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</si>
  <si>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</si>
  <si>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</si>
  <si>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</si>
  <si>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</si>
  <si>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</si>
  <si>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</si>
  <si>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</si>
  <si>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</si>
  <si>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</si>
  <si>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</si>
  <si>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</si>
  <si>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</si>
  <si>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</si>
  <si>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</si>
  <si>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</si>
  <si>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</si>
  <si>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</si>
  <si>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</si>
  <si>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</si>
  <si>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</si>
  <si>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</si>
  <si>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</si>
  <si>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</si>
  <si>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</si>
  <si>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</si>
  <si>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</si>
  <si>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</si>
  <si>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</si>
  <si>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</si>
  <si>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</si>
  <si>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</si>
  <si>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</si>
  <si>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</si>
  <si>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</si>
  <si>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</si>
  <si>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</si>
  <si>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</si>
  <si>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</si>
  <si>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</si>
  <si>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</si>
  <si>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</si>
  <si>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</si>
  <si>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</si>
  <si>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</si>
  <si>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</si>
  <si>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</si>
  <si>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</si>
  <si>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</si>
  <si>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</si>
  <si>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</si>
  <si>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</si>
  <si>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</si>
  <si>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</si>
  <si>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</si>
  <si>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</si>
  <si>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</si>
  <si>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</si>
  <si>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</si>
  <si>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</si>
  <si>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</si>
  <si>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</si>
  <si>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</si>
  <si>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</si>
  <si>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</si>
  <si>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</si>
  <si>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</si>
  <si>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</si>
  <si>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</si>
  <si>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</si>
  <si>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</si>
  <si>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</si>
  <si>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</si>
  <si>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</si>
  <si>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</si>
  <si>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</si>
  <si>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</si>
  <si>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</si>
  <si>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</si>
  <si>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</si>
  <si>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</si>
  <si>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</si>
  <si>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</si>
  <si>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</si>
  <si>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</si>
  <si>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</si>
  <si>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</si>
  <si>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</si>
  <si>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</si>
  <si>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</si>
  <si>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</si>
  <si>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</si>
  <si>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</si>
  <si>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</si>
  <si>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</si>
  <si>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</si>
  <si>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</si>
  <si>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</si>
  <si>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</si>
  <si>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</si>
  <si>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</si>
  <si>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</si>
  <si>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</si>
  <si>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</si>
  <si>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</si>
  <si>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</si>
  <si>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</si>
  <si>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</si>
  <si>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</si>
  <si>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</si>
  <si>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</si>
  <si>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</si>
  <si>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</si>
  <si>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</si>
  <si>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</si>
  <si>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</si>
  <si>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</si>
  <si>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</si>
  <si>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</si>
  <si>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</si>
  <si>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</si>
  <si>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</si>
  <si>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</si>
  <si>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</si>
  <si>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</si>
  <si>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</si>
  <si>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</si>
  <si>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</si>
  <si>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</si>
  <si>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</si>
  <si>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</si>
  <si>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</si>
  <si>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</si>
  <si>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</si>
  <si>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</si>
  <si>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</si>
  <si>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</si>
  <si>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</si>
  <si>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</si>
  <si>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</si>
  <si>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</si>
  <si>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</si>
  <si>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</si>
  <si>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</si>
  <si>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</si>
  <si>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</si>
  <si>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</si>
  <si>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</si>
  <si>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</si>
  <si>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</si>
  <si>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</si>
  <si>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</si>
  <si>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</si>
  <si>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</si>
  <si>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</si>
  <si>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</si>
  <si>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</si>
  <si>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</si>
  <si>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</si>
  <si>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</si>
  <si>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</si>
  <si>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</si>
  <si>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</si>
  <si>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</si>
  <si>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</si>
  <si>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</si>
  <si>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</si>
  <si>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</si>
  <si>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</si>
  <si>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</si>
  <si>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</si>
  <si>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</si>
  <si>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</si>
  <si>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</si>
  <si>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</si>
  <si>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</si>
  <si>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</si>
  <si>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</si>
  <si>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</si>
  <si>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</si>
  <si>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</si>
  <si>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</si>
  <si>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</si>
  <si>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</si>
  <si>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</si>
  <si>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</si>
  <si>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</si>
  <si>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</si>
  <si>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</si>
  <si>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</si>
  <si>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</si>
  <si>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</si>
  <si>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</si>
  <si>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</si>
  <si>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</si>
  <si>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</si>
  <si>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</si>
  <si>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</si>
  <si>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</si>
  <si>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</si>
  <si>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</si>
  <si>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</si>
  <si>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</si>
  <si>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</si>
  <si>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</si>
  <si>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</si>
  <si>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</si>
  <si>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</si>
  <si>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</si>
  <si>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</si>
  <si>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</si>
  <si>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</si>
  <si>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</si>
  <si>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</si>
  <si>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</si>
  <si>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</si>
  <si>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</si>
  <si>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</si>
  <si>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</si>
  <si>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</si>
  <si>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</si>
  <si>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</si>
  <si>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</si>
  <si>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</si>
  <si>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</si>
  <si>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</si>
  <si>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</si>
  <si>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</si>
  <si>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</si>
  <si>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</si>
  <si>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</si>
  <si>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</si>
  <si>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</si>
  <si>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</si>
  <si>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</si>
  <si>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</si>
  <si>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</si>
  <si>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</si>
  <si>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</si>
  <si>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</si>
  <si>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</si>
  <si>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</si>
  <si>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</si>
  <si>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</si>
  <si>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</si>
  <si>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</si>
  <si>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</si>
  <si>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</si>
  <si>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</si>
  <si>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</si>
  <si>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</si>
  <si>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</si>
  <si>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</si>
  <si>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</si>
  <si>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</si>
  <si>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</si>
  <si>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</si>
  <si>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</si>
  <si>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</si>
  <si>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</si>
  <si>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</si>
  <si>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</si>
  <si>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</si>
  <si>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</si>
  <si>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</si>
  <si>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</si>
  <si>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</si>
  <si>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</si>
  <si>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</si>
  <si>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</si>
  <si>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</si>
  <si>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</si>
  <si>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</si>
  <si>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</si>
  <si>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</si>
  <si>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</si>
  <si>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</si>
  <si>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</si>
  <si>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</si>
  <si>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</si>
  <si>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</si>
  <si>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</si>
  <si>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</si>
  <si>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</si>
  <si>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</si>
  <si>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</si>
  <si>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</si>
  <si>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</si>
  <si>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</si>
  <si>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</si>
  <si>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</si>
  <si>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</si>
  <si>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</si>
  <si>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</si>
  <si>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</si>
  <si>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</si>
  <si>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</si>
  <si>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</si>
  <si>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</si>
  <si>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</si>
  <si>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</si>
  <si>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</si>
  <si>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</si>
  <si>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</si>
  <si>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</si>
  <si>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</si>
  <si>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</si>
  <si>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</si>
  <si>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</si>
  <si>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</si>
  <si>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</si>
  <si>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</si>
  <si>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</si>
  <si>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</si>
  <si>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</si>
  <si>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</si>
  <si>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</si>
  <si>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</si>
  <si>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</si>
  <si>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</si>
  <si>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</si>
  <si>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</si>
  <si>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</si>
  <si>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</si>
  <si>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</si>
  <si>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</si>
  <si>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</si>
  <si>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</si>
  <si>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</si>
  <si>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</si>
  <si>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</si>
  <si>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</si>
  <si>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</si>
  <si>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</si>
  <si>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</si>
  <si>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</si>
  <si>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</si>
  <si>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</si>
  <si>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</si>
  <si>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</si>
  <si>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</si>
  <si>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</si>
  <si>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</si>
  <si>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</si>
  <si>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</si>
  <si>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</si>
  <si>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</si>
  <si>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</si>
  <si>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</si>
  <si>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</si>
  <si>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</si>
  <si>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</si>
  <si>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</si>
  <si>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</si>
  <si>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</si>
  <si>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</si>
  <si>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</si>
  <si>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</si>
  <si>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</si>
  <si>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</si>
  <si>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</si>
  <si>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</si>
  <si>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</si>
  <si>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</si>
  <si>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</si>
  <si>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</si>
  <si>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</si>
  <si>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</si>
  <si>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</si>
  <si>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</si>
  <si>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</si>
  <si>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</si>
  <si>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</si>
  <si>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</si>
  <si>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</si>
  <si>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</si>
  <si>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</si>
  <si>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</si>
  <si>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</si>
  <si>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</si>
  <si>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</si>
  <si>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</si>
  <si>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</si>
  <si>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</si>
  <si>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</si>
  <si>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</si>
  <si>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</si>
  <si>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</si>
  <si>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</si>
  <si>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</si>
  <si>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</si>
  <si>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</si>
  <si>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</si>
  <si>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</si>
  <si>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</si>
  <si>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</si>
  <si>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</si>
  <si>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</si>
  <si>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</si>
  <si>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</si>
  <si>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</si>
  <si>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</si>
  <si>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</si>
  <si>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</si>
  <si>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</si>
  <si>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</si>
  <si>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</si>
  <si>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</si>
  <si>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</si>
  <si>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</si>
  <si>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</si>
  <si>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</si>
  <si>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</si>
  <si>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</si>
  <si>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</si>
  <si>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</si>
  <si>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</si>
  <si>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</si>
  <si>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</si>
  <si>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</si>
  <si>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</si>
  <si>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</si>
  <si>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</si>
  <si>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</si>
  <si>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</si>
  <si>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</si>
  <si>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</si>
  <si>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</si>
  <si>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</si>
  <si>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</si>
  <si>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</si>
  <si>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</si>
  <si>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</si>
  <si>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</si>
  <si>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</si>
  <si>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</si>
  <si>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</si>
  <si>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</si>
  <si>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</si>
  <si>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</si>
  <si>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</si>
  <si>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</si>
  <si>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</si>
  <si>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</si>
  <si>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</si>
  <si>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</si>
  <si>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</si>
  <si>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</si>
  <si>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</si>
  <si>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</si>
  <si>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</si>
  <si>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</si>
  <si>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</si>
  <si>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</si>
  <si>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</si>
  <si>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</si>
  <si>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</si>
  <si>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</si>
  <si>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</si>
  <si>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</si>
  <si>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</si>
  <si>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</si>
  <si>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</si>
  <si>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</si>
  <si>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</si>
  <si>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</si>
  <si>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</si>
  <si>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</si>
  <si>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</si>
  <si>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</si>
  <si>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</si>
  <si>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</si>
  <si>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</si>
  <si>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</si>
  <si>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</si>
  <si>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</si>
  <si>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</si>
  <si>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</si>
  <si>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</si>
  <si>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</si>
  <si>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</si>
  <si>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</si>
  <si>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</si>
  <si>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</si>
  <si>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</si>
  <si>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</si>
  <si>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</si>
  <si>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</si>
  <si>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</si>
  <si>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</si>
  <si>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</si>
  <si>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</si>
  <si>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</si>
  <si>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</si>
  <si>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</si>
  <si>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</si>
  <si>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</si>
  <si>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</si>
  <si>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</si>
  <si>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</si>
  <si>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</si>
  <si>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</si>
  <si>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</si>
  <si>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</si>
  <si>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</si>
  <si>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</si>
  <si>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</si>
  <si>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</si>
  <si>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</si>
  <si>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</si>
  <si>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</si>
  <si>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</si>
  <si>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</si>
  <si>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</si>
  <si>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</si>
  <si>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</si>
  <si>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</si>
  <si>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</si>
  <si>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</si>
  <si>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</si>
  <si>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</si>
  <si>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</si>
  <si>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</si>
  <si>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</si>
  <si>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</si>
  <si>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</si>
  <si>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</si>
  <si>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</si>
  <si>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</si>
  <si>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</si>
  <si>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</si>
  <si>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</si>
  <si>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</si>
  <si>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</si>
  <si>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</si>
  <si>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</si>
  <si>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</si>
  <si>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</si>
  <si>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</si>
  <si>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</si>
  <si>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</si>
  <si>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</si>
  <si>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</si>
  <si>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</si>
  <si>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</si>
  <si>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</si>
  <si>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</si>
  <si>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</si>
  <si>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</si>
  <si>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</si>
  <si>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</si>
  <si>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</si>
  <si>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</si>
  <si>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</si>
  <si>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</si>
  <si>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</si>
  <si>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</si>
  <si>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</si>
  <si>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</si>
  <si>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</si>
  <si>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</si>
  <si>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</si>
  <si>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</si>
  <si>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</si>
  <si>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</si>
  <si>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</si>
  <si>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</si>
  <si>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</si>
  <si>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</si>
  <si>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</si>
  <si>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</si>
  <si>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</si>
  <si>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</si>
  <si>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</si>
  <si>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</si>
  <si>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</si>
  <si>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</si>
  <si>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</si>
  <si>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</si>
  <si>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</si>
  <si>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</si>
  <si>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</si>
  <si>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</si>
  <si>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</si>
  <si>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</si>
  <si>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</si>
  <si>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</si>
  <si>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</si>
  <si>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</si>
  <si>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</si>
  <si>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</si>
  <si>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</si>
  <si>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</si>
  <si>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</si>
  <si>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</si>
  <si>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</si>
  <si>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</si>
  <si>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</si>
  <si>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</si>
  <si>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</si>
  <si>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</si>
  <si>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</si>
  <si>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</si>
  <si>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</si>
  <si>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</si>
  <si>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</si>
  <si>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</si>
  <si>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</si>
  <si>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</si>
  <si>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</si>
  <si>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</si>
  <si>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</si>
  <si>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</si>
  <si>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</si>
  <si>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</si>
  <si>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</si>
  <si>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</si>
  <si>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</si>
  <si>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</si>
  <si>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</si>
  <si>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</si>
  <si>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</si>
  <si>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</si>
  <si>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</si>
  <si>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</si>
  <si>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</si>
  <si>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</si>
  <si>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</si>
  <si>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</si>
  <si>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</si>
  <si>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</si>
  <si>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</si>
  <si>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</si>
  <si>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</si>
  <si>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</si>
  <si>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</si>
  <si>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</si>
  <si>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</si>
  <si>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</si>
  <si>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</si>
  <si>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</si>
  <si>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</si>
  <si>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</si>
  <si>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</si>
  <si>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</si>
  <si>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</si>
  <si>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</si>
  <si>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</si>
  <si>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</si>
  <si>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</si>
  <si>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</si>
  <si>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</si>
  <si>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</si>
  <si>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</si>
  <si>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</si>
  <si>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</si>
  <si>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</si>
  <si>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</si>
  <si>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</si>
  <si>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</si>
  <si>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</si>
  <si>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</si>
  <si>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</si>
  <si>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</si>
  <si>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</si>
  <si>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</si>
  <si>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</si>
  <si>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</si>
  <si>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</si>
  <si>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</si>
  <si>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</si>
  <si>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</si>
  <si>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</si>
  <si>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</si>
  <si>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</si>
  <si>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</si>
  <si>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</si>
  <si>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</si>
  <si>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</si>
  <si>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</si>
  <si>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</si>
  <si>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</si>
  <si>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</si>
  <si>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</si>
  <si>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</si>
  <si>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</si>
  <si>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</si>
  <si>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</si>
  <si>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</si>
  <si>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</si>
  <si>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</si>
  <si>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</si>
  <si>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</si>
  <si>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</si>
  <si>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</si>
  <si>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</si>
  <si>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</si>
  <si>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</si>
  <si>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</si>
  <si>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</si>
  <si>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</si>
  <si>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</si>
  <si>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</si>
  <si>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</si>
  <si>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</si>
  <si>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</si>
  <si>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</si>
  <si>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</si>
  <si>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</si>
  <si>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</si>
  <si>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</si>
  <si>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</si>
  <si>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</si>
  <si>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</si>
  <si>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</si>
  <si>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</si>
  <si>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</si>
  <si>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</si>
  <si>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</si>
  <si>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</si>
  <si>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</si>
  <si>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</si>
  <si>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</si>
  <si>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</si>
  <si>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</si>
  <si>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</si>
  <si>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</si>
  <si>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</si>
  <si>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</si>
  <si>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</si>
  <si>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</si>
  <si>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</si>
  <si>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</si>
  <si>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</si>
  <si>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</si>
  <si>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</si>
  <si>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</si>
  <si>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</si>
  <si>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</si>
  <si>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</si>
  <si>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</si>
  <si>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</si>
  <si>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</si>
  <si>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</si>
  <si>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</si>
  <si>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</si>
  <si>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</si>
  <si>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</si>
  <si>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</si>
  <si>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</si>
  <si>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</si>
  <si>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</si>
  <si>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</si>
  <si>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</si>
  <si>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</si>
  <si>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</si>
  <si>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</si>
  <si>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</si>
  <si>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</si>
  <si>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</si>
  <si>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</si>
  <si>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</si>
  <si>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</si>
  <si>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</si>
  <si>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</si>
  <si>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</si>
  <si>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</si>
  <si>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</si>
  <si>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</si>
  <si>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</si>
  <si>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</si>
  <si>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</si>
  <si>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</si>
  <si>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</si>
  <si>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</si>
  <si>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</si>
  <si>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</si>
  <si>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</si>
  <si>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</si>
  <si>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</si>
  <si>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</si>
  <si>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</si>
  <si>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</si>
  <si>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</si>
  <si>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</si>
  <si>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</si>
  <si>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</si>
  <si>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</si>
  <si>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</si>
  <si>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</si>
  <si>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</si>
  <si>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</si>
  <si>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</si>
  <si>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</si>
  <si>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</si>
  <si>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</si>
  <si>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</si>
  <si>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</si>
  <si>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</si>
  <si>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</si>
  <si>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</si>
  <si>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</si>
  <si>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</si>
  <si>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</si>
  <si>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</si>
  <si>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</si>
  <si>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</si>
  <si>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</si>
  <si>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</si>
  <si>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</si>
  <si>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</si>
  <si>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</si>
  <si>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</si>
  <si>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</si>
  <si>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</si>
  <si>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</si>
  <si>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</si>
  <si>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</si>
  <si>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</si>
  <si>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</si>
  <si>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</si>
  <si>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</si>
  <si>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</si>
  <si>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</si>
  <si>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</si>
  <si>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</si>
  <si>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</si>
  <si>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</si>
  <si>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</si>
  <si>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</si>
  <si>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</si>
  <si>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</si>
  <si>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</si>
  <si>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</si>
  <si>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</si>
  <si>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</si>
  <si>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</si>
  <si>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</si>
  <si>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</si>
  <si>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</si>
  <si>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</si>
  <si>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</si>
  <si>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</si>
  <si>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</si>
  <si>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</si>
  <si>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</si>
  <si>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</si>
  <si>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</si>
  <si>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</si>
  <si>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</si>
  <si>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</si>
  <si>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</si>
  <si>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</si>
  <si>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</si>
  <si>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</si>
  <si>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</si>
  <si>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</si>
  <si>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</si>
  <si>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</si>
  <si>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</si>
  <si>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</si>
  <si>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</si>
  <si>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</si>
  <si>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</si>
  <si>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</si>
  <si>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</si>
  <si>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</si>
  <si>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</si>
  <si>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</si>
  <si>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</si>
  <si>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</si>
  <si>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</si>
  <si>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</si>
  <si>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</si>
  <si>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</si>
  <si>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</si>
  <si>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</si>
  <si>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</si>
  <si>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</si>
  <si>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</si>
  <si>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</si>
  <si>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</si>
  <si>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</si>
  <si>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</si>
  <si>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</si>
  <si>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</si>
  <si>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</si>
  <si>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</si>
  <si>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</si>
  <si>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</si>
  <si>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</si>
  <si>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</si>
  <si>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</si>
  <si>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</si>
  <si>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</si>
  <si>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</si>
  <si>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</si>
  <si>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</si>
  <si>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</si>
  <si>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</si>
  <si>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</si>
  <si>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</si>
  <si>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</si>
  <si>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</si>
  <si>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</si>
  <si>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</si>
  <si>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</si>
  <si>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</si>
  <si>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</si>
  <si>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</si>
  <si>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</si>
  <si>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</si>
  <si>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</si>
  <si>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</si>
  <si>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</si>
  <si>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</si>
  <si>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</si>
  <si>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</si>
  <si>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</si>
  <si>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</si>
  <si>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</si>
  <si>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</si>
  <si>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</si>
  <si>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</si>
  <si>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</si>
  <si>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</si>
  <si>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</si>
  <si>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</si>
  <si>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</si>
  <si>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</si>
  <si>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</si>
  <si>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</si>
  <si>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</si>
  <si>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</si>
  <si>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</si>
  <si>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</si>
  <si>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</si>
  <si>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</si>
  <si>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</si>
  <si>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</si>
  <si>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</si>
  <si>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</si>
  <si>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</si>
  <si>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</si>
  <si>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</si>
  <si>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</si>
  <si>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</si>
  <si>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</si>
  <si>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</si>
  <si>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</si>
  <si>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</si>
  <si>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</si>
  <si>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</si>
  <si>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</si>
  <si>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</si>
  <si>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</si>
  <si>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</si>
  <si>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</si>
  <si>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</si>
  <si>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</si>
  <si>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</si>
  <si>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</si>
  <si>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</si>
  <si>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</si>
  <si>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</si>
  <si>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</si>
  <si>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</si>
  <si>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</si>
  <si>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</si>
  <si>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</si>
  <si>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</si>
  <si>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</si>
  <si>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</si>
  <si>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</si>
  <si>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</si>
  <si>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</si>
  <si>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</si>
  <si>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</si>
  <si>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</si>
  <si>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</si>
  <si>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</si>
  <si>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</si>
  <si>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</si>
  <si>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</si>
  <si>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</si>
  <si>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</si>
  <si>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</si>
  <si>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</si>
  <si>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</si>
  <si>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</si>
  <si>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</si>
  <si>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</si>
  <si>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</si>
  <si>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</si>
  <si>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</si>
  <si>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</si>
  <si>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</si>
  <si>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</si>
  <si>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</si>
  <si>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</si>
  <si>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</si>
  <si>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</si>
  <si>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</si>
  <si>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</si>
  <si>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</si>
  <si>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</si>
  <si>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</si>
  <si>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</si>
  <si>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</si>
  <si>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</si>
  <si>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</si>
  <si>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</si>
  <si>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</si>
  <si>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</si>
  <si>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</si>
  <si>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</si>
  <si>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</si>
  <si>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</si>
  <si>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</si>
  <si>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</si>
  <si>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</si>
  <si>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</si>
  <si>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</si>
  <si>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</si>
  <si>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</si>
  <si>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</si>
  <si>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</si>
  <si>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</si>
  <si>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</si>
  <si>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</si>
  <si>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</si>
  <si>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</si>
  <si>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</si>
  <si>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</si>
  <si>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</si>
  <si>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</si>
  <si>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</si>
  <si>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</si>
  <si>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</si>
  <si>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</si>
  <si>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</si>
  <si>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</si>
  <si>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</si>
  <si>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</si>
  <si>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</si>
  <si>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</si>
  <si>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</si>
  <si>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</si>
  <si>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</si>
  <si>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</si>
  <si>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</si>
  <si>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</si>
  <si>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</si>
  <si>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</si>
  <si>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</si>
  <si>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</si>
  <si>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</si>
  <si>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</si>
  <si>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</si>
  <si>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</si>
  <si>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</si>
  <si>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</si>
  <si>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</si>
  <si>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</si>
  <si>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</si>
  <si>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</si>
  <si>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</si>
  <si>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</si>
  <si>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</si>
  <si>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</si>
  <si>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</si>
  <si>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</si>
  <si>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</si>
  <si>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</si>
  <si>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</si>
  <si>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</si>
  <si>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</si>
  <si>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</si>
  <si>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</si>
  <si>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</si>
  <si>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</si>
  <si>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</si>
  <si>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</si>
  <si>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</si>
  <si>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</si>
  <si>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</si>
  <si>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</si>
  <si>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</si>
  <si>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</si>
  <si>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</si>
  <si>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</si>
  <si>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</si>
  <si>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</si>
  <si>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</si>
  <si>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</si>
  <si>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</si>
  <si>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</si>
  <si>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</si>
  <si>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</si>
  <si>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</si>
  <si>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</si>
  <si>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</si>
  <si>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</si>
  <si>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</si>
  <si>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</si>
  <si>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</si>
  <si>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</si>
  <si>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</si>
  <si>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</si>
  <si>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</si>
  <si>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</si>
  <si>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</si>
  <si>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</si>
  <si>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</si>
  <si>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</si>
  <si>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</si>
  <si>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</si>
  <si>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</si>
  <si>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</si>
  <si>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</si>
  <si>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</si>
  <si>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</si>
  <si>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</si>
  <si>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</si>
  <si>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</si>
  <si>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</si>
  <si>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</si>
  <si>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</si>
  <si>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</si>
  <si>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</si>
  <si>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</si>
  <si>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</si>
  <si>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</si>
  <si>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</si>
  <si>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</si>
  <si>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</si>
  <si>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</si>
  <si>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</si>
  <si>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</si>
  <si>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</si>
  <si>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</si>
  <si>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</si>
  <si>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</si>
  <si>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</si>
  <si>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</si>
  <si>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</si>
  <si>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</si>
  <si>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</si>
  <si>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</si>
  <si>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</si>
  <si>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</si>
  <si>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</si>
  <si>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</si>
  <si>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</si>
  <si>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</si>
  <si>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</si>
  <si>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</si>
  <si>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</si>
  <si>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</si>
  <si>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</si>
  <si>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</si>
  <si>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</si>
  <si>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</si>
  <si>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</si>
  <si>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</si>
  <si>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</si>
  <si>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</si>
  <si>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</si>
  <si>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</si>
  <si>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</si>
  <si>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</si>
  <si>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</si>
  <si>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</si>
  <si>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</si>
  <si>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</si>
  <si>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</si>
  <si>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</si>
  <si>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</si>
  <si>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</si>
  <si>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</si>
  <si>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</si>
  <si>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</si>
  <si>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</si>
  <si>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</si>
  <si>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</si>
  <si>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</si>
  <si>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</si>
  <si>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</si>
  <si>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</si>
  <si>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</si>
  <si>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</si>
  <si>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</si>
  <si>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</si>
  <si>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</si>
  <si>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</si>
  <si>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</si>
  <si>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</si>
  <si>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</si>
  <si>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</si>
  <si>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</si>
  <si>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</si>
  <si>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</si>
  <si>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</si>
  <si>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</si>
  <si>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</si>
  <si>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</si>
  <si>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</si>
  <si>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</si>
  <si>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</si>
  <si>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</si>
  <si>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</si>
  <si>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</si>
  <si>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</si>
  <si>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</si>
  <si>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</si>
  <si>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</si>
  <si>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</si>
  <si>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</si>
  <si>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</si>
  <si>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</si>
  <si>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</si>
  <si>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</si>
  <si>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</si>
  <si>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</si>
  <si>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</si>
  <si>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</si>
  <si>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</si>
  <si>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</si>
  <si>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</si>
  <si>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</si>
  <si>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</si>
  <si>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</si>
  <si>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</si>
  <si>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</si>
  <si>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</si>
  <si>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</si>
  <si>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</si>
  <si>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</si>
  <si>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</si>
  <si>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</si>
  <si>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</si>
  <si>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</si>
  <si>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</si>
  <si>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</si>
  <si>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</si>
  <si>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</si>
  <si>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</si>
  <si>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</si>
  <si>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</si>
  <si>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</si>
  <si>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</si>
  <si>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</si>
  <si>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</si>
  <si>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</si>
  <si>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</si>
  <si>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</si>
  <si>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</si>
  <si>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</si>
  <si>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</si>
  <si>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</si>
  <si>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</si>
  <si>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</si>
  <si>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</si>
  <si>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</si>
  <si>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</si>
  <si>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</si>
  <si>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</si>
  <si>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</si>
  <si>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</si>
  <si>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</si>
  <si>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</si>
  <si>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</si>
  <si>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</si>
  <si>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</si>
  <si>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</si>
  <si>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</si>
  <si>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</si>
  <si>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</si>
  <si>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</si>
  <si>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</si>
  <si>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</si>
  <si>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</si>
  <si>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</si>
  <si>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</si>
  <si>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</si>
  <si>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</si>
  <si>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</si>
  <si>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</si>
  <si>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</si>
  <si>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</si>
  <si>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</si>
  <si>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</si>
  <si>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</si>
  <si>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</si>
  <si>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</si>
  <si>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</si>
  <si>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</si>
  <si>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</si>
  <si>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</si>
  <si>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</si>
  <si>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</si>
  <si>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</si>
  <si>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</si>
  <si>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</si>
  <si>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</si>
  <si>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</si>
  <si>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</si>
  <si>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</si>
  <si>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</si>
  <si>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</si>
  <si>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</si>
  <si>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</si>
  <si>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</si>
  <si>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</si>
  <si>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</si>
  <si>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</si>
  <si>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</si>
  <si>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</si>
  <si>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</si>
  <si>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</si>
  <si>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</si>
  <si>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</si>
  <si>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</si>
  <si>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</si>
  <si>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</si>
  <si>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</si>
  <si>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</si>
  <si>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</si>
  <si>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</si>
  <si>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</si>
  <si>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</si>
  <si>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</si>
  <si>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</si>
  <si>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</si>
  <si>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</si>
  <si>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</si>
  <si>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</si>
  <si>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</si>
  <si>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</si>
  <si>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</si>
  <si>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</si>
  <si>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</si>
  <si>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</si>
  <si>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</si>
  <si>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</si>
  <si>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</si>
  <si>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</si>
  <si>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</si>
  <si>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</si>
  <si>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</si>
  <si>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</si>
  <si>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</si>
  <si>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</si>
  <si>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</si>
  <si>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</si>
  <si>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</si>
  <si>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</si>
  <si>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</si>
  <si>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</si>
  <si>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</si>
  <si>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</si>
  <si>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</si>
  <si>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</si>
  <si>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</si>
  <si>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</si>
  <si>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</si>
  <si>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</si>
  <si>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</si>
  <si>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</si>
  <si>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</si>
  <si>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</si>
  <si>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</si>
  <si>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</si>
  <si>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</si>
  <si>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</si>
  <si>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</si>
  <si>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</si>
  <si>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</si>
  <si>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</si>
  <si>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</si>
  <si>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</si>
  <si>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</si>
  <si>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</si>
  <si>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</si>
  <si>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</si>
  <si>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</si>
  <si>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</si>
  <si>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</si>
  <si>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</si>
  <si>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</si>
  <si>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</si>
  <si>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</si>
  <si>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</si>
  <si>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</si>
  <si>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</si>
  <si>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</si>
  <si>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</si>
  <si>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</si>
  <si>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</si>
  <si>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</si>
  <si>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</si>
  <si>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</si>
  <si>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</si>
  <si>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</si>
  <si>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</si>
  <si>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</si>
  <si>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</si>
  <si>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</si>
  <si>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</si>
  <si>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</si>
  <si>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</si>
  <si>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</si>
  <si>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</si>
  <si>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</si>
  <si>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</si>
  <si>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</si>
  <si>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</si>
  <si>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</si>
  <si>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</si>
  <si>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</si>
  <si>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</si>
  <si>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</si>
  <si>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</si>
  <si>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</si>
  <si>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</si>
  <si>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</si>
  <si>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</si>
  <si>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</si>
  <si>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</si>
  <si>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</si>
  <si>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</si>
  <si>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</si>
  <si>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</si>
  <si>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</si>
  <si>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</si>
  <si>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</si>
  <si>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</si>
  <si>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</si>
  <si>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</si>
  <si>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</si>
  <si>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</si>
  <si>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</si>
  <si>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</si>
  <si>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</si>
  <si>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</si>
  <si>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</si>
  <si>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</si>
  <si>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</si>
  <si>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</si>
  <si>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</si>
  <si>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</si>
  <si>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</si>
  <si>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</si>
  <si>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</si>
  <si>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</si>
  <si>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</si>
  <si>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</si>
  <si>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</si>
  <si>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</si>
  <si>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</si>
  <si>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</si>
  <si>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</si>
  <si>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</si>
  <si>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</si>
  <si>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</si>
  <si>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</si>
  <si>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</si>
  <si>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</si>
  <si>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</si>
  <si>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</si>
  <si>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</si>
  <si>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</si>
  <si>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</si>
  <si>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</si>
  <si>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</si>
  <si>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</si>
  <si>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</si>
  <si>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</si>
  <si>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</si>
  <si>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</si>
  <si>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</si>
  <si>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</si>
  <si>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</si>
  <si>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</si>
  <si>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</si>
  <si>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</si>
  <si>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</si>
  <si>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</si>
  <si>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</si>
  <si>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</si>
  <si>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</si>
  <si>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</si>
  <si>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</si>
  <si>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</si>
  <si>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</si>
  <si>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</si>
  <si>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</si>
  <si>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</si>
  <si>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</si>
  <si>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</si>
  <si>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</si>
  <si>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</si>
  <si>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</si>
  <si>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</si>
  <si>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</si>
  <si>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</si>
  <si>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</si>
  <si>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</si>
  <si>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</si>
  <si>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</si>
  <si>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</si>
  <si>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</si>
  <si>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</si>
  <si>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</si>
  <si>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</si>
  <si>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</si>
  <si>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</si>
  <si>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</si>
  <si>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</si>
  <si>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</si>
  <si>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</si>
  <si>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</si>
  <si>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</si>
  <si>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</si>
  <si>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</si>
  <si>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</si>
  <si>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</si>
  <si>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</si>
  <si>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</si>
  <si>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</si>
  <si>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</si>
  <si>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</si>
  <si>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</si>
  <si>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</si>
  <si>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</si>
  <si>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</si>
  <si>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</si>
  <si>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</si>
  <si>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</si>
  <si>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</si>
  <si>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</si>
  <si>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</si>
  <si>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</si>
  <si>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</si>
  <si>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</si>
  <si>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</si>
  <si>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</si>
  <si>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</si>
  <si>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</si>
  <si>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</si>
  <si>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</si>
  <si>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</si>
  <si>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</si>
  <si>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</si>
  <si>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</si>
  <si>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</si>
  <si>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</si>
  <si>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</si>
  <si>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</si>
  <si>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</si>
  <si>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</si>
  <si>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</si>
  <si>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</si>
  <si>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</si>
  <si>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</si>
  <si>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</si>
  <si>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</si>
  <si>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</si>
  <si>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</si>
  <si>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</si>
  <si>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</si>
  <si>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</si>
  <si>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</si>
  <si>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</si>
  <si>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</si>
  <si>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</si>
  <si>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</si>
  <si>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</si>
  <si>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</si>
  <si>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</si>
  <si>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</si>
  <si>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</si>
  <si>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</si>
  <si>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</si>
  <si>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</si>
  <si>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</si>
  <si>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</si>
  <si>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</si>
  <si>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</si>
  <si>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</si>
  <si>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</si>
  <si>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</si>
  <si>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</si>
  <si>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</si>
  <si>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</si>
  <si>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</si>
  <si>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</si>
  <si>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</si>
  <si>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</si>
  <si>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</si>
  <si>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</si>
  <si>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</si>
  <si>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</si>
  <si>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</si>
  <si>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</si>
  <si>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</si>
  <si>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</si>
  <si>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</si>
  <si>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</si>
  <si>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</si>
  <si>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</si>
  <si>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</si>
  <si>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</si>
  <si>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</si>
  <si>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</si>
  <si>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</si>
  <si>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</si>
  <si>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</si>
  <si>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</si>
  <si>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</si>
  <si>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</si>
  <si>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</si>
  <si>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</si>
  <si>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</si>
  <si>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</si>
  <si>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</si>
  <si>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</si>
  <si>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</si>
  <si>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</si>
  <si>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</si>
  <si>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</si>
  <si>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</si>
  <si>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</si>
  <si>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</si>
  <si>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</si>
  <si>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</si>
  <si>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</si>
  <si>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</si>
  <si>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</si>
  <si>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</si>
  <si>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</si>
  <si>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</si>
  <si>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</si>
  <si>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</si>
  <si>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</si>
  <si>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</si>
  <si>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</si>
  <si>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</si>
  <si>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</si>
  <si>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</si>
  <si>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</si>
  <si>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</si>
  <si>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</si>
  <si>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</si>
  <si>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</si>
  <si>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</si>
  <si>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</si>
  <si>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</si>
  <si>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</si>
  <si>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</si>
  <si>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</si>
  <si>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</si>
  <si>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</si>
  <si>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</si>
  <si>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</si>
  <si>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</si>
  <si>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</si>
  <si>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</si>
  <si>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</si>
  <si>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</si>
  <si>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</si>
  <si>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</si>
  <si>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</si>
  <si>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</si>
  <si>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</si>
  <si>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</si>
  <si>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</si>
  <si>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</si>
  <si>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</si>
  <si>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</si>
  <si>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</si>
  <si>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</si>
  <si>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</si>
  <si>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</si>
  <si>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</si>
  <si>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</si>
  <si>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</si>
  <si>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</si>
  <si>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</si>
  <si>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</si>
  <si>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</si>
  <si>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</si>
  <si>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</si>
  <si>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</si>
  <si>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</si>
  <si>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</si>
  <si>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</si>
  <si>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</si>
  <si>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</si>
  <si>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</si>
  <si>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</si>
  <si>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</si>
  <si>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</si>
  <si>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</si>
  <si>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</si>
  <si>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</si>
  <si>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</si>
  <si>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</si>
  <si>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</si>
  <si>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</si>
  <si>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</si>
  <si>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</si>
  <si>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</si>
  <si>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</si>
  <si>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</si>
  <si>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</si>
  <si>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</si>
  <si>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</si>
  <si>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</si>
  <si>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</si>
  <si>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</si>
  <si>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</si>
  <si>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</si>
  <si>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</si>
  <si>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</si>
  <si>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</si>
  <si>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</si>
  <si>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</si>
  <si>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</si>
  <si>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</si>
  <si>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</si>
  <si>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</si>
  <si>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</si>
  <si>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</si>
  <si>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</si>
  <si>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</si>
  <si>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</si>
  <si>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</si>
  <si>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</si>
  <si>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</si>
  <si>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</si>
  <si>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</si>
  <si>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</si>
  <si>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</si>
  <si>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</si>
  <si>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</si>
  <si>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</si>
  <si>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</si>
  <si>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</si>
  <si>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</si>
  <si>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</si>
  <si>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</si>
  <si>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</si>
  <si>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</si>
  <si>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</si>
  <si>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</si>
  <si>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</si>
  <si>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</si>
  <si>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</si>
  <si>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</si>
  <si>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</si>
  <si>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</si>
  <si>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</si>
  <si>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</si>
  <si>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</si>
  <si>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</si>
  <si>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</si>
  <si>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</si>
  <si>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</si>
  <si>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</si>
  <si>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</si>
  <si>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</si>
  <si>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</si>
  <si>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</si>
  <si>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</si>
  <si>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</si>
  <si>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</si>
  <si>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</si>
  <si>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</si>
  <si>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</si>
  <si>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</si>
  <si>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</si>
  <si>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</si>
  <si>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</si>
  <si>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</si>
  <si>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</si>
  <si>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</si>
  <si>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</si>
  <si>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</si>
  <si>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</si>
  <si>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</si>
  <si>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</si>
  <si>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</si>
  <si>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</si>
  <si>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</si>
  <si>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</si>
  <si>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</si>
  <si>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</si>
  <si>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</si>
  <si>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</si>
  <si>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</si>
  <si>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</si>
  <si>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</si>
  <si>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</si>
  <si>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</si>
  <si>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</si>
  <si>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</si>
  <si>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</si>
  <si>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</si>
  <si>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</si>
  <si>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</si>
  <si>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</si>
  <si>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</si>
  <si>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</si>
  <si>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</si>
  <si>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</si>
  <si>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</si>
  <si>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</si>
  <si>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</si>
  <si>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</si>
  <si>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</si>
  <si>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</si>
  <si>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</si>
  <si>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</si>
  <si>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</si>
  <si>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</si>
  <si>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</si>
  <si>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</si>
  <si>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</si>
  <si>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</si>
  <si>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</si>
  <si>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</si>
  <si>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</si>
  <si>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</si>
  <si>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</si>
  <si>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</si>
  <si>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</si>
  <si>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</si>
  <si>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</si>
  <si>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</si>
  <si>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</si>
  <si>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</si>
  <si>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</si>
  <si>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</si>
  <si>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</si>
  <si>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</si>
  <si>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</si>
  <si>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</si>
  <si>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</si>
  <si>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</si>
  <si>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</si>
  <si>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</si>
  <si>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</si>
  <si>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</si>
  <si>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</si>
  <si>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</si>
  <si>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</si>
  <si>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</si>
  <si>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</si>
  <si>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</si>
  <si>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</si>
  <si>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</si>
  <si>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</si>
  <si>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</si>
  <si>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</si>
  <si>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</si>
  <si>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</si>
  <si>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</si>
  <si>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</si>
  <si>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</si>
  <si>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</si>
  <si>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</si>
  <si>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</si>
  <si>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</si>
  <si>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</si>
  <si>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</si>
  <si>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</si>
  <si>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</si>
  <si>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</si>
  <si>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</si>
  <si>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</si>
  <si>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</si>
  <si>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</si>
  <si>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</si>
  <si>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</si>
  <si>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</si>
  <si>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</si>
  <si>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</si>
  <si>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</si>
  <si>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</si>
  <si>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</si>
  <si>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</si>
  <si>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</si>
  <si>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</si>
  <si>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</si>
  <si>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</si>
  <si>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</si>
  <si>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</si>
  <si>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</si>
  <si>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</si>
  <si>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</si>
  <si>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</si>
  <si>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</si>
  <si>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</si>
  <si>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</si>
  <si>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</si>
  <si>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</si>
  <si>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</si>
  <si>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</si>
  <si>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</si>
  <si>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</si>
  <si>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</si>
  <si>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</si>
  <si>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</si>
  <si>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</si>
  <si>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</si>
  <si>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</si>
  <si>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</si>
  <si>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</si>
  <si>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</si>
  <si>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</si>
  <si>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</si>
  <si>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</si>
  <si>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</si>
  <si>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</si>
  <si>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</si>
  <si>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</si>
  <si>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</si>
  <si>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</si>
  <si>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</si>
  <si>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</si>
  <si>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</si>
  <si>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</si>
  <si>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</si>
  <si>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</si>
  <si>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</si>
  <si>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</si>
  <si>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</si>
  <si>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</si>
  <si>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</si>
  <si>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</si>
  <si>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</si>
  <si>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</si>
  <si>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</si>
  <si>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</si>
  <si>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</si>
  <si>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</si>
  <si>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</si>
  <si>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</si>
  <si>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</si>
  <si>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</si>
  <si>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</si>
  <si>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</si>
  <si>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</si>
  <si>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</si>
  <si>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</si>
  <si>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</si>
  <si>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</si>
  <si>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</si>
  <si>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</si>
  <si>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</si>
  <si>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</si>
  <si>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</si>
  <si>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</si>
  <si>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</si>
  <si>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</si>
  <si>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</si>
  <si>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</si>
  <si>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</si>
  <si>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</si>
  <si>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</si>
  <si>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</si>
  <si>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</si>
  <si>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</si>
  <si>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</si>
  <si>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</si>
  <si>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</si>
  <si>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</si>
  <si>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</si>
  <si>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</si>
  <si>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</si>
  <si>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</si>
  <si>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</si>
  <si>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</si>
  <si>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</si>
  <si>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</si>
  <si>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</si>
  <si>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</si>
  <si>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</si>
  <si>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</si>
  <si>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</si>
  <si>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</si>
  <si>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</si>
  <si>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</si>
  <si>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</si>
  <si>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</si>
  <si>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</si>
  <si>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</si>
  <si>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</si>
  <si>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</si>
  <si>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</si>
  <si>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</si>
  <si>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</si>
  <si>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</si>
  <si>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</si>
  <si>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</si>
  <si>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</si>
  <si>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</si>
  <si>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</si>
  <si>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</si>
  <si>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</si>
  <si>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</si>
  <si>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</si>
  <si>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</si>
  <si>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</si>
  <si>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</si>
  <si>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</si>
  <si>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</si>
  <si>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</si>
  <si>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</si>
  <si>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</si>
  <si>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</si>
  <si>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</si>
  <si>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</si>
  <si>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</si>
  <si>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</si>
  <si>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</si>
  <si>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</si>
  <si>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</si>
  <si>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</si>
  <si>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</si>
  <si>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</si>
  <si>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</si>
  <si>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</si>
  <si>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</si>
  <si>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</si>
  <si>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</si>
  <si>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</si>
  <si>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</si>
  <si>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</si>
  <si>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</si>
  <si>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</si>
  <si>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</si>
  <si>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</si>
  <si>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</si>
  <si>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</si>
  <si>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</si>
  <si>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</si>
  <si>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</si>
  <si>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</si>
  <si>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</si>
  <si>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</si>
  <si>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</si>
  <si>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</si>
  <si>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</si>
  <si>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</si>
  <si>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</si>
  <si>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</si>
  <si>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</si>
  <si>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</si>
  <si>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</si>
  <si>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</si>
  <si>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</si>
  <si>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</si>
  <si>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</si>
  <si>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</si>
  <si>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</si>
  <si>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</si>
  <si>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</si>
  <si>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</si>
  <si>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</si>
  <si>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</si>
  <si>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</si>
  <si>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</si>
  <si>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</si>
  <si>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</si>
  <si>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</si>
  <si>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</si>
  <si>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</si>
  <si>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</si>
  <si>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</si>
  <si>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</si>
  <si>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</si>
  <si>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</si>
  <si>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</si>
  <si>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</si>
  <si>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</si>
  <si>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</si>
  <si>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</si>
  <si>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</si>
  <si>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</si>
  <si>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</si>
  <si>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</si>
  <si>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</si>
  <si>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</si>
  <si>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</si>
  <si>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</si>
  <si>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</si>
  <si>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</si>
  <si>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</si>
  <si>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</si>
  <si>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</si>
  <si>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</si>
  <si>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</si>
  <si>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</si>
  <si>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</si>
  <si>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</si>
  <si>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</si>
  <si>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</si>
  <si>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</si>
  <si>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</si>
  <si>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</si>
  <si>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</si>
  <si>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</si>
  <si>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</si>
  <si>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</si>
  <si>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</si>
  <si>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</si>
  <si>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</si>
  <si>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</si>
  <si>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</si>
  <si>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</si>
  <si>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</si>
  <si>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</si>
  <si>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</si>
  <si>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</si>
  <si>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</si>
  <si>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</si>
  <si>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</si>
  <si>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</si>
  <si>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</si>
  <si>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</si>
  <si>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</si>
  <si>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</si>
  <si>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</si>
  <si>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</si>
  <si>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</si>
  <si>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</si>
  <si>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</si>
  <si>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</si>
  <si>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</si>
  <si>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</si>
  <si>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</si>
  <si>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</si>
  <si>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</si>
  <si>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</si>
  <si>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</si>
  <si>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</si>
  <si>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</si>
  <si>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</si>
  <si>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</si>
  <si>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</si>
  <si>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</si>
  <si>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</si>
  <si>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</si>
  <si>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</si>
  <si>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</si>
  <si>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</si>
  <si>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</si>
  <si>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</si>
  <si>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</si>
  <si>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</si>
  <si>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</si>
  <si>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</si>
  <si>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</si>
  <si>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</si>
  <si>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</si>
  <si>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</si>
  <si>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</si>
  <si>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</si>
  <si>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</si>
  <si>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</si>
  <si>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</si>
  <si>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</si>
  <si>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</si>
  <si>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</si>
  <si>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</si>
  <si>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</si>
  <si>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</si>
  <si>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</si>
  <si>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</si>
  <si>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</si>
  <si>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</si>
  <si>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</si>
  <si>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</si>
  <si>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</si>
  <si>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</si>
  <si>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</si>
  <si>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</si>
  <si>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</si>
  <si>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</si>
  <si>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</si>
  <si>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</si>
  <si>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</si>
  <si>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</si>
  <si>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</si>
  <si>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</si>
  <si>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</si>
  <si>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</si>
  <si>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</si>
  <si>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</si>
  <si>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</si>
  <si>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</si>
  <si>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</si>
  <si>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</si>
  <si>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</si>
  <si>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</si>
  <si>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</si>
  <si>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</si>
  <si>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</si>
  <si>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</si>
  <si>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</si>
  <si>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</si>
  <si>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</si>
  <si>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</si>
  <si>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</si>
  <si>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</si>
  <si>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</si>
  <si>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</si>
  <si>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</si>
  <si>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</si>
  <si>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</si>
  <si>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</si>
  <si>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</si>
  <si>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</si>
  <si>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</si>
  <si>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</si>
  <si>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</si>
  <si>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</si>
  <si>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</si>
  <si>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</si>
  <si>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</si>
  <si>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</si>
  <si>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</si>
  <si>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</si>
  <si>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</si>
  <si>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</si>
  <si>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</si>
  <si>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</si>
  <si>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</si>
  <si>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</si>
  <si>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</si>
  <si>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</si>
  <si>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</si>
  <si>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</si>
  <si>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</si>
  <si>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</si>
  <si>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</si>
  <si>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</si>
  <si>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</si>
  <si>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</si>
  <si>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</si>
  <si>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</si>
  <si>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</si>
  <si>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</si>
  <si>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</si>
  <si>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</si>
  <si>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</si>
  <si>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</si>
  <si>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</si>
  <si>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</si>
  <si>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</si>
  <si>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</si>
  <si>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</si>
  <si>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</si>
  <si>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</si>
  <si>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</si>
  <si>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</si>
  <si>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</si>
  <si>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</si>
  <si>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</si>
  <si>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</si>
  <si>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</si>
  <si>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</si>
  <si>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</si>
  <si>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</si>
  <si>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</si>
  <si>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</si>
  <si>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</si>
  <si>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</si>
  <si>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</si>
  <si>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</si>
  <si>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</si>
  <si>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</si>
  <si>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</si>
  <si>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</si>
  <si>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</si>
  <si>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</si>
  <si>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</si>
  <si>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</si>
  <si>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</si>
  <si>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</si>
  <si>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</si>
  <si>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</si>
  <si>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</si>
  <si>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</si>
  <si>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</si>
  <si>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</si>
  <si>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</si>
  <si>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</si>
  <si>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</si>
  <si>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</si>
  <si>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</si>
  <si>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</si>
  <si>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</si>
  <si>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</si>
  <si>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</si>
  <si>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</si>
  <si>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</si>
  <si>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</si>
  <si>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</si>
  <si>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</si>
  <si>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</si>
  <si>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</si>
  <si>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</si>
  <si>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</si>
  <si>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</si>
  <si>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</si>
  <si>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</si>
  <si>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</si>
  <si>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</si>
  <si>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</si>
  <si>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</si>
  <si>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</si>
  <si>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</si>
  <si>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</si>
  <si>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</si>
  <si>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</si>
  <si>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</si>
  <si>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</si>
  <si>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</si>
  <si>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</si>
  <si>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</si>
  <si>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</si>
  <si>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</si>
  <si>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</si>
  <si>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</si>
  <si>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</si>
  <si>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</si>
  <si>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</si>
  <si>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</si>
  <si>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</si>
  <si>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</si>
  <si>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</si>
  <si>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</si>
  <si>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</si>
  <si>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</si>
  <si>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</si>
  <si>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</si>
  <si>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</si>
  <si>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</si>
  <si>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</si>
  <si>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</si>
  <si>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</si>
  <si>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</si>
  <si>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</si>
  <si>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</si>
  <si>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</si>
  <si>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</si>
  <si>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</si>
  <si>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</si>
  <si>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</si>
  <si>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</si>
  <si>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</si>
  <si>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</si>
  <si>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</si>
  <si>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</si>
  <si>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</si>
  <si>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</si>
  <si>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</si>
  <si>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</si>
  <si>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</si>
  <si>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</si>
  <si>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</si>
  <si>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</si>
  <si>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</si>
  <si>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</si>
  <si>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</si>
  <si>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</si>
  <si>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</si>
  <si>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</si>
  <si>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</si>
  <si>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</si>
  <si>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</si>
  <si>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</si>
  <si>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</si>
  <si>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</si>
  <si>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</si>
  <si>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</si>
  <si>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</si>
  <si>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</si>
  <si>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</si>
  <si>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</si>
  <si>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</si>
  <si>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</si>
  <si>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</si>
  <si>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</si>
  <si>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</si>
  <si>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</si>
  <si>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</si>
  <si>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</si>
  <si>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</si>
  <si>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</si>
  <si>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</si>
  <si>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</si>
  <si>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</si>
  <si>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</si>
  <si>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</si>
  <si>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</si>
  <si>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</si>
  <si>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</si>
  <si>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</si>
  <si>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</si>
  <si>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</si>
  <si>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</si>
  <si>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</si>
  <si>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</si>
  <si>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</si>
  <si>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</si>
  <si>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</si>
  <si>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</si>
  <si>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</si>
  <si>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</si>
  <si>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</si>
  <si>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</si>
  <si>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</si>
  <si>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</si>
  <si>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</si>
  <si>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</si>
  <si>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</si>
  <si>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</si>
  <si>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</si>
  <si>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</si>
  <si>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</si>
  <si>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</si>
  <si>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</si>
  <si>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</si>
  <si>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</si>
  <si>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</si>
  <si>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</si>
  <si>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</si>
  <si>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</si>
  <si>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</si>
  <si>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</si>
  <si>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</si>
  <si>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</si>
  <si>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</si>
  <si>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</si>
  <si>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</si>
  <si>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</si>
  <si>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</si>
  <si>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</si>
  <si>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</si>
  <si>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</si>
  <si>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</si>
  <si>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</si>
  <si>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</si>
  <si>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</si>
  <si>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</si>
  <si>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</si>
  <si>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</si>
  <si>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</si>
  <si>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</si>
  <si>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</si>
  <si>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</si>
  <si>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</si>
  <si>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</si>
  <si>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</si>
  <si>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</si>
  <si>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</si>
  <si>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</si>
  <si>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</si>
  <si>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</si>
  <si>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</si>
  <si>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</si>
  <si>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</si>
  <si>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</si>
  <si>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</si>
  <si>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</si>
  <si>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</si>
  <si>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</si>
  <si>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</si>
  <si>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</si>
  <si>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</si>
  <si>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</si>
  <si>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</si>
  <si>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</si>
  <si>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</si>
  <si>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</si>
  <si>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</si>
  <si>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</si>
  <si>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</si>
  <si>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</si>
  <si>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</si>
  <si>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</si>
  <si>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</si>
  <si>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</si>
  <si>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</si>
  <si>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</si>
  <si>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</si>
  <si>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</si>
  <si>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</si>
  <si>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</si>
  <si>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</si>
  <si>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</si>
  <si>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</si>
  <si>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</si>
  <si>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</si>
  <si>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</si>
  <si>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</si>
  <si>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</si>
  <si>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</si>
  <si>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</si>
  <si>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</si>
  <si>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</si>
  <si>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</si>
  <si>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</si>
  <si>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</si>
  <si>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</si>
  <si>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</si>
  <si>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</si>
  <si>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</si>
  <si>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</si>
  <si>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</si>
  <si>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</si>
  <si>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</si>
  <si>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</si>
  <si>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</si>
  <si>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</si>
  <si>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</si>
  <si>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</si>
  <si>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</si>
  <si>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</si>
  <si>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</si>
  <si>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</si>
  <si>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</si>
  <si>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</si>
  <si>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</si>
  <si>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</si>
  <si>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</si>
  <si>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</si>
  <si>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</si>
  <si>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</si>
  <si>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</si>
  <si>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</si>
  <si>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</si>
  <si>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</si>
  <si>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</si>
  <si>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</si>
  <si>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</si>
  <si>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</si>
  <si>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</si>
  <si>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</si>
  <si>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</si>
  <si>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</si>
  <si>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</si>
  <si>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</si>
  <si>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</si>
  <si>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</si>
  <si>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</si>
  <si>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</si>
  <si>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</si>
  <si>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</si>
  <si>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</si>
  <si>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</si>
  <si>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</si>
  <si>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</si>
  <si>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</si>
  <si>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</si>
  <si>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</si>
  <si>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</si>
  <si>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</si>
  <si>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</si>
  <si>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</si>
  <si>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</si>
  <si>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</si>
  <si>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</si>
  <si>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</si>
  <si>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</si>
  <si>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</si>
  <si>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</si>
  <si>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</si>
  <si>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</si>
  <si>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</si>
  <si>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</si>
  <si>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</si>
  <si>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</si>
  <si>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</si>
  <si>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</si>
  <si>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</si>
  <si>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</si>
  <si>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</si>
  <si>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</si>
  <si>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</si>
  <si>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</si>
  <si>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</si>
  <si>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</si>
  <si>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</si>
  <si>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</si>
  <si>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</si>
  <si>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</si>
  <si>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</si>
  <si>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</si>
  <si>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</si>
  <si>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</si>
  <si>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</si>
  <si>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</si>
  <si>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</si>
  <si>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</si>
  <si>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</si>
  <si>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</si>
  <si>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</si>
  <si>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</si>
  <si>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</si>
  <si>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</si>
  <si>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</si>
  <si>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</si>
  <si>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</si>
  <si>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</si>
  <si>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</si>
  <si>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</si>
  <si>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</si>
  <si>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</si>
  <si>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</si>
  <si>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</si>
  <si>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</si>
  <si>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</si>
  <si>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</si>
  <si>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</si>
  <si>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</si>
  <si>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</si>
  <si>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</si>
  <si>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</si>
  <si>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</si>
  <si>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</si>
  <si>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</si>
  <si>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</si>
  <si>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</si>
  <si>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</si>
  <si>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</si>
  <si>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</si>
  <si>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</si>
  <si>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</si>
  <si>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</si>
  <si>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</si>
  <si>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</si>
  <si>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</si>
  <si>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</si>
  <si>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</si>
  <si>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</si>
  <si>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</si>
  <si>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</si>
  <si>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</si>
  <si>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</si>
  <si>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</si>
  <si>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</si>
  <si>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</si>
  <si>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</si>
  <si>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</si>
  <si>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</si>
  <si>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</si>
  <si>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</si>
  <si>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</si>
  <si>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</si>
  <si>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</si>
  <si>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</si>
  <si>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</si>
  <si>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</si>
  <si>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</si>
  <si>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</si>
  <si>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</si>
  <si>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</si>
  <si>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</si>
  <si>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</si>
  <si>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</si>
  <si>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</si>
  <si>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</si>
  <si>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</si>
  <si>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</si>
  <si>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</si>
  <si>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</si>
  <si>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</si>
  <si>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</si>
  <si>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</si>
  <si>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</si>
  <si>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</si>
  <si>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</si>
  <si>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</si>
  <si>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</si>
  <si>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</si>
  <si>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</si>
  <si>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</si>
  <si>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</si>
  <si>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</si>
  <si>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</si>
  <si>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</si>
  <si>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</si>
  <si>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</si>
  <si>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</si>
  <si>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</si>
  <si>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</si>
  <si>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</si>
  <si>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</si>
  <si>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</si>
  <si>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</si>
  <si>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</si>
  <si>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</si>
  <si>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</si>
  <si>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</si>
  <si>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</si>
  <si>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</si>
  <si>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</si>
  <si>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</si>
  <si>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</si>
  <si>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</si>
  <si>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</si>
  <si>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</si>
  <si>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</si>
  <si>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</si>
  <si>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</si>
  <si>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</si>
  <si>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</si>
  <si>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</si>
  <si>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</si>
  <si>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</si>
  <si>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</si>
  <si>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</si>
  <si>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</si>
  <si>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</si>
  <si>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</si>
  <si>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</si>
  <si>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</si>
  <si>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</si>
  <si>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</si>
  <si>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</si>
  <si>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</si>
  <si>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</si>
  <si>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</si>
  <si>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</si>
  <si>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</si>
  <si>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</si>
  <si>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</si>
  <si>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</si>
  <si>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</si>
  <si>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</si>
  <si>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</si>
  <si>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</si>
  <si>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</si>
  <si>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</si>
  <si>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</si>
  <si>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</si>
  <si>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</si>
  <si>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</si>
  <si>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</si>
  <si>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</si>
  <si>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</si>
  <si>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</si>
  <si>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</si>
  <si>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</si>
  <si>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</si>
  <si>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</si>
  <si>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</si>
  <si>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</si>
  <si>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</si>
  <si>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</si>
  <si>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</si>
  <si>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</si>
  <si>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</si>
  <si>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</si>
  <si>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</si>
  <si>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</si>
  <si>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</si>
  <si>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</si>
  <si>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</si>
  <si>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</si>
  <si>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</si>
  <si>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</si>
  <si>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</si>
  <si>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</si>
  <si>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</si>
  <si>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</si>
  <si>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</si>
  <si>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</si>
  <si>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</si>
  <si>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</si>
  <si>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</si>
  <si>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</si>
  <si>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</si>
  <si>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</si>
  <si>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</si>
  <si>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</si>
  <si>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</si>
  <si>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</si>
  <si>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</si>
  <si>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</si>
  <si>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</si>
  <si>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</si>
  <si>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</si>
  <si>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</si>
  <si>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</si>
  <si>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</si>
  <si>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</si>
  <si>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</si>
  <si>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</si>
  <si>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</si>
  <si>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</si>
  <si>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</si>
  <si>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</si>
  <si>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</si>
  <si>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</si>
  <si>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</si>
  <si>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</si>
  <si>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</si>
  <si>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</si>
  <si>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</si>
  <si>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</si>
  <si>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</si>
  <si>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</si>
  <si>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</si>
  <si>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</si>
  <si>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</si>
  <si>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</si>
  <si>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</si>
  <si>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</si>
  <si>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</si>
  <si>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</si>
  <si>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</si>
  <si>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</si>
  <si>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</si>
  <si>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</si>
  <si>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</si>
  <si>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</si>
  <si>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</si>
  <si>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</si>
  <si>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</si>
  <si>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</si>
  <si>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</si>
  <si>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</si>
  <si>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</si>
  <si>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</si>
  <si>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</si>
  <si>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</si>
  <si>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</si>
  <si>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</si>
  <si>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</si>
  <si>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</si>
  <si>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</si>
  <si>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</si>
  <si>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</si>
  <si>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</si>
  <si>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</si>
  <si>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</si>
  <si>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</si>
  <si>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</si>
  <si>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</si>
  <si>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</si>
  <si>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</si>
  <si>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</si>
  <si>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</si>
  <si>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</si>
  <si>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</si>
  <si>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</si>
  <si>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</si>
  <si>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</si>
  <si>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</si>
  <si>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</si>
  <si>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</si>
  <si>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</si>
  <si>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</si>
  <si>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</si>
  <si>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</si>
  <si>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</si>
  <si>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</si>
  <si>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</si>
  <si>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</si>
  <si>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</si>
  <si>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</si>
  <si>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</si>
  <si>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</si>
  <si>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</si>
  <si>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</si>
  <si>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</si>
  <si>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</si>
  <si>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</si>
  <si>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</si>
  <si>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</si>
  <si>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</si>
  <si>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</si>
  <si>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</si>
  <si>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</si>
  <si>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</si>
  <si>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</si>
  <si>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</si>
  <si>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</si>
  <si>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</si>
  <si>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</si>
  <si>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</si>
  <si>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</si>
  <si>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</si>
  <si>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</si>
  <si>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</si>
  <si>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</si>
  <si>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</si>
  <si>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</si>
  <si>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</si>
  <si>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</si>
  <si>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</si>
  <si>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</si>
  <si>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</si>
  <si>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</si>
  <si>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</si>
  <si>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</si>
  <si>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</si>
  <si>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</si>
  <si>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</si>
  <si>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</si>
  <si>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</si>
  <si>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</si>
  <si>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</si>
  <si>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</si>
  <si>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</si>
  <si>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</si>
  <si>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</si>
  <si>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</si>
  <si>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</si>
  <si>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</si>
  <si>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</si>
  <si>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</si>
  <si>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</si>
  <si>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</si>
  <si>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</si>
  <si>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</si>
  <si>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</si>
  <si>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</si>
  <si>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</si>
  <si>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</si>
  <si>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</si>
  <si>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</si>
  <si>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</si>
  <si>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</si>
  <si>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</si>
  <si>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</si>
  <si>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</si>
  <si>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</si>
  <si>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</si>
  <si>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</si>
  <si>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</si>
  <si>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</si>
  <si>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</si>
  <si>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</si>
  <si>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</si>
  <si>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</si>
  <si>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</si>
  <si>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</si>
  <si>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</si>
  <si>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</si>
  <si>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</si>
  <si>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</si>
  <si>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</si>
  <si>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</si>
  <si>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</si>
  <si>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</si>
  <si>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</si>
  <si>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</si>
  <si>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</si>
  <si>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</si>
  <si>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</si>
  <si>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</si>
  <si>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</si>
  <si>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</si>
  <si>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</si>
  <si>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</si>
  <si>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</si>
  <si>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</si>
  <si>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</si>
  <si>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</si>
  <si>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</si>
  <si>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</si>
  <si>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</si>
  <si>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</si>
  <si>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</si>
  <si>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</si>
  <si>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</si>
  <si>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</si>
  <si>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</si>
  <si>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</si>
  <si>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</si>
  <si>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</si>
  <si>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</si>
  <si>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</si>
  <si>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</si>
  <si>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</si>
  <si>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</si>
  <si>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</si>
  <si>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</si>
  <si>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</si>
  <si>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</si>
  <si>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</si>
  <si>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</si>
  <si>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</si>
  <si>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</si>
  <si>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</si>
  <si>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</si>
  <si>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</si>
  <si>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</si>
  <si>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</si>
  <si>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</si>
  <si>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</si>
  <si>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</si>
  <si>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</si>
  <si>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</si>
  <si>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</si>
  <si>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</si>
  <si>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</si>
  <si>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</si>
  <si>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</si>
  <si>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</si>
  <si>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</si>
  <si>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</si>
  <si>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</si>
  <si>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</si>
  <si>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</si>
  <si>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</si>
  <si>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</si>
  <si>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</si>
  <si>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</si>
  <si>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</si>
  <si>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</si>
  <si>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</si>
  <si>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</si>
  <si>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</si>
  <si>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</si>
  <si>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</si>
  <si>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</si>
  <si>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</si>
  <si>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</si>
  <si>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</si>
  <si>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</si>
  <si>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</si>
  <si>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</si>
  <si>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</si>
  <si>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</si>
  <si>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</si>
  <si>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</si>
  <si>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</si>
  <si>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</si>
  <si>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</si>
  <si>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</si>
  <si>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</si>
  <si>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</si>
  <si>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</si>
  <si>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</si>
  <si>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</si>
  <si>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</si>
  <si>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</si>
  <si>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</si>
  <si>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</si>
  <si>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</si>
  <si>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</si>
  <si>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</si>
  <si>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</si>
  <si>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</si>
  <si>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</si>
  <si>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</si>
  <si>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</si>
  <si>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</si>
  <si>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</si>
  <si>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</si>
  <si>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</si>
  <si>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</si>
  <si>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</si>
  <si>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</si>
  <si>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</si>
  <si>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</si>
  <si>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</si>
  <si>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</si>
  <si>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</si>
  <si>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</si>
  <si>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</si>
  <si>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</si>
  <si>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</si>
  <si>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</si>
  <si>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</si>
  <si>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</si>
  <si>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</si>
  <si>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</si>
  <si>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</si>
  <si>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</si>
  <si>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</si>
  <si>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</si>
  <si>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</si>
  <si>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</si>
  <si>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</si>
  <si>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</si>
  <si>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</si>
  <si>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</si>
  <si>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</si>
  <si>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</si>
  <si>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</si>
  <si>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</si>
  <si>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</si>
  <si>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</si>
  <si>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</si>
  <si>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</si>
  <si>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</si>
  <si>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</si>
  <si>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</si>
  <si>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</si>
  <si>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</si>
  <si>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</si>
  <si>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</si>
  <si>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</si>
  <si>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</si>
  <si>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</si>
  <si>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</si>
  <si>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</si>
  <si>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</si>
  <si>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</si>
  <si>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</si>
  <si>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</si>
  <si>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</si>
  <si>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</si>
  <si>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</si>
  <si>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</si>
  <si>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</si>
  <si>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</si>
  <si>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</si>
  <si>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</si>
  <si>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</si>
  <si>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</si>
  <si>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</si>
  <si>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</si>
  <si>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</si>
  <si>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</si>
  <si>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</si>
  <si>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</si>
  <si>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</si>
  <si>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</si>
  <si>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</si>
  <si>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</si>
  <si>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</si>
  <si>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</si>
  <si>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</si>
  <si>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</si>
  <si>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</si>
  <si>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</si>
  <si>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</si>
  <si>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</si>
  <si>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</si>
  <si>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</si>
  <si>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</si>
  <si>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</si>
  <si>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</si>
  <si>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</si>
  <si>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</si>
  <si>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</si>
  <si>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</si>
  <si>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</si>
  <si>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</si>
  <si>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</si>
  <si>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</si>
  <si>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</si>
  <si>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</si>
  <si>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</si>
  <si>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</si>
  <si>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</si>
  <si>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</si>
  <si>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</si>
  <si>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</si>
  <si>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</si>
  <si>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</si>
  <si>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</si>
  <si>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</si>
  <si>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</si>
  <si>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</si>
  <si>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</si>
  <si>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</si>
  <si>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</si>
  <si>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</si>
  <si>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</si>
  <si>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</si>
  <si>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</si>
  <si>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</si>
  <si>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</si>
  <si>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</si>
  <si>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</si>
  <si>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</si>
  <si>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</si>
  <si>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</si>
  <si>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</si>
  <si>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</si>
  <si>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</si>
  <si>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</si>
  <si>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</si>
  <si>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</si>
  <si>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</si>
  <si>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</si>
  <si>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</si>
  <si>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</si>
  <si>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</si>
  <si>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</si>
  <si>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</si>
  <si>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</si>
  <si>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</si>
  <si>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</si>
  <si>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</si>
  <si>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</si>
  <si>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</si>
  <si>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</si>
  <si>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</si>
  <si>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</si>
  <si>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</si>
  <si>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</si>
  <si>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</si>
  <si>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</si>
  <si>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</si>
  <si>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</si>
  <si>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</si>
  <si>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</si>
  <si>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</si>
  <si>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</si>
  <si>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</si>
  <si>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</si>
  <si>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</si>
  <si>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</si>
  <si>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</si>
  <si>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</si>
  <si>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</si>
  <si>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</si>
  <si>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</si>
  <si>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</si>
  <si>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</si>
  <si>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</si>
  <si>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</si>
  <si>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</si>
  <si>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</si>
  <si>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</si>
  <si>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</si>
  <si>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</si>
  <si>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</si>
  <si>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</si>
  <si>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</si>
  <si>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</si>
  <si>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</si>
  <si>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</si>
  <si>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</si>
  <si>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</si>
  <si>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</si>
  <si>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</si>
  <si>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</si>
  <si>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</si>
  <si>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</si>
  <si>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</si>
  <si>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</si>
  <si>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</si>
  <si>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</si>
  <si>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</si>
  <si>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</si>
  <si>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</si>
  <si>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</si>
  <si>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</si>
  <si>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</si>
  <si>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</si>
  <si>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</si>
  <si>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</si>
  <si>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</si>
  <si>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</si>
  <si>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</si>
  <si>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</si>
  <si>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</si>
  <si>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</si>
  <si>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</si>
  <si>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</si>
  <si>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</si>
  <si>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</si>
  <si>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</si>
  <si>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</si>
  <si>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</si>
  <si>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</si>
  <si>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</si>
  <si>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</si>
  <si>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</si>
  <si>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</si>
  <si>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</si>
  <si>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</si>
  <si>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</si>
  <si>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</si>
  <si>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</si>
  <si>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</si>
  <si>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</si>
  <si>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</si>
  <si>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</si>
  <si>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</si>
  <si>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</si>
  <si>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</si>
  <si>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</si>
  <si>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</si>
  <si>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</si>
  <si>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</si>
  <si>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</si>
  <si>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</si>
  <si>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</si>
  <si>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</si>
  <si>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</si>
  <si>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</si>
  <si>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</si>
  <si>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</si>
  <si>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</si>
  <si>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</si>
  <si>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</si>
  <si>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</si>
  <si>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</si>
  <si>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</si>
  <si>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</si>
  <si>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</si>
  <si>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</si>
  <si>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</si>
  <si>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</si>
  <si>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</si>
  <si>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</si>
  <si>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</si>
  <si>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</si>
  <si>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</si>
  <si>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</si>
  <si>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</si>
  <si>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</si>
  <si>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</si>
  <si>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</si>
  <si>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</si>
  <si>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</si>
  <si>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</si>
  <si>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</si>
  <si>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</si>
  <si>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</si>
  <si>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</si>
  <si>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</si>
  <si>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</si>
  <si>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</si>
  <si>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</si>
  <si>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</si>
  <si>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</si>
  <si>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</si>
  <si>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</si>
  <si>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</si>
  <si>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</si>
  <si>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</si>
  <si>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</si>
  <si>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</si>
  <si>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</si>
  <si>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</si>
  <si>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</si>
  <si>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</si>
  <si>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</si>
  <si>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</si>
  <si>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</si>
  <si>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</si>
  <si>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</si>
  <si>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</si>
  <si>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</si>
  <si>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</si>
  <si>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</si>
  <si>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</si>
  <si>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</si>
  <si>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</si>
  <si>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</si>
  <si>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</si>
  <si>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</si>
  <si>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</si>
  <si>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</si>
  <si>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</si>
  <si>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</si>
  <si>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</si>
  <si>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</si>
  <si>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</si>
  <si>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</si>
  <si>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</si>
  <si>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</si>
  <si>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</si>
  <si>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</si>
  <si>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</si>
  <si>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</si>
  <si>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</si>
  <si>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</si>
  <si>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</si>
  <si>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</si>
  <si>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</si>
  <si>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</si>
  <si>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</si>
  <si>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</si>
  <si>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</si>
  <si>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</si>
  <si>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</si>
  <si>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</si>
  <si>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</si>
  <si>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</si>
  <si>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</si>
  <si>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</si>
  <si>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</si>
  <si>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</si>
  <si>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</si>
  <si>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</si>
  <si>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</si>
  <si>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</si>
  <si>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</si>
  <si>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</si>
  <si>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</si>
  <si>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</si>
  <si>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</si>
  <si>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</si>
  <si>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</si>
  <si>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</si>
  <si>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</si>
  <si>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</si>
  <si>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</si>
  <si>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</si>
  <si>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</si>
  <si>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</si>
  <si>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</si>
  <si>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</si>
  <si>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</si>
  <si>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</si>
  <si>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</si>
  <si>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</si>
  <si>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</si>
  <si>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</si>
  <si>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</si>
  <si>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</si>
  <si>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</si>
  <si>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</si>
  <si>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</si>
  <si>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</si>
  <si>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</si>
  <si>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</si>
  <si>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</si>
  <si>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</si>
  <si>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</si>
  <si>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</si>
  <si>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</si>
  <si>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</si>
  <si>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</si>
  <si>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</si>
  <si>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</si>
  <si>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</si>
  <si>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</si>
  <si>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</si>
  <si>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</si>
  <si>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</si>
  <si>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</si>
  <si>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</si>
  <si>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</si>
  <si>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</si>
  <si>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</si>
  <si>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</si>
  <si>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</si>
  <si>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</si>
  <si>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</si>
  <si>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</si>
  <si>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</si>
  <si>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</si>
  <si>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</si>
  <si>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</si>
  <si>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</si>
  <si>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</si>
  <si>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</si>
  <si>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</si>
  <si>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</si>
  <si>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</si>
  <si>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</si>
  <si>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</si>
  <si>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</si>
  <si>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</si>
  <si>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</si>
  <si>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</si>
  <si>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</si>
  <si>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</si>
  <si>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</si>
  <si>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</si>
  <si>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</si>
  <si>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</si>
  <si>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</si>
  <si>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</si>
  <si>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</si>
  <si>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</si>
  <si>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</si>
  <si>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</si>
  <si>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</si>
  <si>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</si>
  <si>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</si>
  <si>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</si>
  <si>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</si>
  <si>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</si>
  <si>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</si>
  <si>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</si>
  <si>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</si>
  <si>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</si>
  <si>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</si>
  <si>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</si>
  <si>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</si>
  <si>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</si>
  <si>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</si>
  <si>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</si>
  <si>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</si>
  <si>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</si>
  <si>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</si>
  <si>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</si>
  <si>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</si>
  <si>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</si>
  <si>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</si>
  <si>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</si>
  <si>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</si>
  <si>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</si>
  <si>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</si>
  <si>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</si>
  <si>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</si>
  <si>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</si>
  <si>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</si>
  <si>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</si>
  <si>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</si>
  <si>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</si>
  <si>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</si>
  <si>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</si>
  <si>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</si>
  <si>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</si>
  <si>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</si>
  <si>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</si>
  <si>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</si>
  <si>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</si>
  <si>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</si>
  <si>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</si>
  <si>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</si>
  <si>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</si>
  <si>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</si>
  <si>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</si>
  <si>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</si>
  <si>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</si>
  <si>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</si>
  <si>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</si>
  <si>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</si>
  <si>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</si>
  <si>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</si>
  <si>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</si>
  <si>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</si>
  <si>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</si>
  <si>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</si>
  <si>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</si>
  <si>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</si>
  <si>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</si>
  <si>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</si>
  <si>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</si>
  <si>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</si>
  <si>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</si>
  <si>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</si>
  <si>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</si>
  <si>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</si>
  <si>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</si>
  <si>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</si>
  <si>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</si>
  <si>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</si>
  <si>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</si>
  <si>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</si>
  <si>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</si>
  <si>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</si>
  <si>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</si>
  <si>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</si>
  <si>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</si>
  <si>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</si>
  <si>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</si>
  <si>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</si>
  <si>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</si>
  <si>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</si>
  <si>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</si>
  <si>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</si>
  <si>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</si>
  <si>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</si>
  <si>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</si>
  <si>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</si>
  <si>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</si>
  <si>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</si>
  <si>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</si>
  <si>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</si>
  <si>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</si>
  <si>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</si>
  <si>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</si>
  <si>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</si>
  <si>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</si>
  <si>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</si>
  <si>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</si>
  <si>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</si>
  <si>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</si>
  <si>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</si>
  <si>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</si>
  <si>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</si>
  <si>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</si>
  <si>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</si>
  <si>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</si>
  <si>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</si>
  <si>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</si>
  <si>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</si>
  <si>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</si>
  <si>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</si>
  <si>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</si>
  <si>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</si>
  <si>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</si>
  <si>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</si>
  <si>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</si>
  <si>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</si>
  <si>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</si>
  <si>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</si>
  <si>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</si>
  <si>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</si>
  <si>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</si>
  <si>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</si>
  <si>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</si>
  <si>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</si>
  <si>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</si>
  <si>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</si>
  <si>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</si>
  <si>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</si>
  <si>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</si>
  <si>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</si>
  <si>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</si>
  <si>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</si>
  <si>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</si>
  <si>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</si>
  <si>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</si>
  <si>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</si>
  <si>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</si>
  <si>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</si>
  <si>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</si>
  <si>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</si>
  <si>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</si>
  <si>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</si>
  <si>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</si>
  <si>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</si>
  <si>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</si>
  <si>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</si>
  <si>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</si>
  <si>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</si>
  <si>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</si>
  <si>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</si>
  <si>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</si>
  <si>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</si>
  <si>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</si>
  <si>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</si>
  <si>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</si>
  <si>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</si>
  <si>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</si>
  <si>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</si>
  <si>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</si>
  <si>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</si>
  <si>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</si>
  <si>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</si>
  <si>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</si>
  <si>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</si>
  <si>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</si>
  <si>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</si>
  <si>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</si>
  <si>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</si>
  <si>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</si>
  <si>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</si>
  <si>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</si>
  <si>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</si>
  <si>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</si>
  <si>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</si>
  <si>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</si>
  <si>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</si>
  <si>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</si>
  <si>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</si>
  <si>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</si>
  <si>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</si>
  <si>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</si>
  <si>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</si>
  <si>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</si>
  <si>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</si>
  <si>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</si>
  <si>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</si>
  <si>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</si>
  <si>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</si>
  <si>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</si>
  <si>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</si>
  <si>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</si>
  <si>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</si>
  <si>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</si>
  <si>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</si>
  <si>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</si>
  <si>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</si>
  <si>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</si>
  <si>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</si>
  <si>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</si>
  <si>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</si>
  <si>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</si>
  <si>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</si>
  <si>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</si>
  <si>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</si>
  <si>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</si>
  <si>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</si>
  <si>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</si>
  <si>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</si>
  <si>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</si>
  <si>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</si>
  <si>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</si>
  <si>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</si>
  <si>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</si>
  <si>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</si>
  <si>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</si>
  <si>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</si>
  <si>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</si>
  <si>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</si>
  <si>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</si>
  <si>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</si>
  <si>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</si>
  <si>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</si>
  <si>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</si>
  <si>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</si>
  <si>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</si>
  <si>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</si>
  <si>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</si>
  <si>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</si>
  <si>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</si>
  <si>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</si>
  <si>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</si>
  <si>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</si>
  <si>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</si>
  <si>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</si>
  <si>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</si>
  <si>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</si>
  <si>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</si>
  <si>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</si>
  <si>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</si>
  <si>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</si>
  <si>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</si>
  <si>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</si>
  <si>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</si>
  <si>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</si>
  <si>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</si>
  <si>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</si>
  <si>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</si>
  <si>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</si>
  <si>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</si>
  <si>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</si>
  <si>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</si>
  <si>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</si>
  <si>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</si>
  <si>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</si>
  <si>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</si>
  <si>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</si>
  <si>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</si>
  <si>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</si>
  <si>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</si>
  <si>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</si>
  <si>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</si>
  <si>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</si>
  <si>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</si>
  <si>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</si>
  <si>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</si>
  <si>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</si>
  <si>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</si>
  <si>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</si>
  <si>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</si>
  <si>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</si>
  <si>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</si>
  <si>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</si>
  <si>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</si>
  <si>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</si>
  <si>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</si>
  <si>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</si>
  <si>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</si>
  <si>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</si>
  <si>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</si>
  <si>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</si>
  <si>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</si>
  <si>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</si>
  <si>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</si>
  <si>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</si>
  <si>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</si>
  <si>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</si>
  <si>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</si>
  <si>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</si>
  <si>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</si>
  <si>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</si>
  <si>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</si>
  <si>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</si>
  <si>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</si>
  <si>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</si>
  <si>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</si>
  <si>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</si>
  <si>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</si>
  <si>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</si>
  <si>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</si>
  <si>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</si>
  <si>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</si>
  <si>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</si>
  <si>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</si>
  <si>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</si>
  <si>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</si>
  <si>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</si>
  <si>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</si>
  <si>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</si>
  <si>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</si>
  <si>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</si>
  <si>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</si>
  <si>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</si>
  <si>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</si>
  <si>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</si>
  <si>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</si>
  <si>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</si>
  <si>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</si>
  <si>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</si>
  <si>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</si>
  <si>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</si>
  <si>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</si>
  <si>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</si>
  <si>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</si>
  <si>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</si>
  <si>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</si>
  <si>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</si>
  <si>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</si>
  <si>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</si>
  <si>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</si>
  <si>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</si>
  <si>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</si>
  <si>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</si>
  <si>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</si>
  <si>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</si>
  <si>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</si>
  <si>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</si>
  <si>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</si>
  <si>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</si>
  <si>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</si>
  <si>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</si>
  <si>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</si>
  <si>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</si>
  <si>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</si>
  <si>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</si>
  <si>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</si>
  <si>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</si>
  <si>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</si>
  <si>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</si>
  <si>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</si>
  <si>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</si>
  <si>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</si>
  <si>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</si>
  <si>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</si>
  <si>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</si>
  <si>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</si>
  <si>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</si>
  <si>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</si>
  <si>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</si>
  <si>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</si>
  <si>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</si>
  <si>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</si>
  <si>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</si>
  <si>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</si>
  <si>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</si>
  <si>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</si>
  <si>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</si>
  <si>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</si>
  <si>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</si>
  <si>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</si>
  <si>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</si>
  <si>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</si>
  <si>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</si>
  <si>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</si>
  <si>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</si>
  <si>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</si>
  <si>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</si>
  <si>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</si>
  <si>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</si>
  <si>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</si>
  <si>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</si>
  <si>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</si>
  <si>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</si>
  <si>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</si>
  <si>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</si>
  <si>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</si>
  <si>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</si>
  <si>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</si>
  <si>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</si>
  <si>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</si>
  <si>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</si>
  <si>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</si>
  <si>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</si>
  <si>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</si>
  <si>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</si>
  <si>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</si>
  <si>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</si>
  <si>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</si>
  <si>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</si>
  <si>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</si>
  <si>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</si>
  <si>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</si>
  <si>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</si>
  <si>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</si>
  <si>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</si>
  <si>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</si>
  <si>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</si>
  <si>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</si>
  <si>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</si>
  <si>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</si>
  <si>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</si>
  <si>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</si>
  <si>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</si>
  <si>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</si>
  <si>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</si>
  <si>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</si>
  <si>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</si>
  <si>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</si>
  <si>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</si>
  <si>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</si>
  <si>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</si>
  <si>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</si>
  <si>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</si>
  <si>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</si>
  <si>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</si>
  <si>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</si>
  <si>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</si>
  <si>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</si>
  <si>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</si>
  <si>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</si>
  <si>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</si>
  <si>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</si>
  <si>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</si>
  <si>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</si>
  <si>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</si>
  <si>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</si>
  <si>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</si>
  <si>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</si>
  <si>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</si>
  <si>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</si>
  <si>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</si>
  <si>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</si>
  <si>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</si>
  <si>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</si>
  <si>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</si>
  <si>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</si>
  <si>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</si>
  <si>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</si>
  <si>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</si>
  <si>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</si>
  <si>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</si>
  <si>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</si>
  <si>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</si>
  <si>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</si>
  <si>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</si>
  <si>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</si>
  <si>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</si>
  <si>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</si>
  <si>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</si>
  <si>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</si>
  <si>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</si>
  <si>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</si>
  <si>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</si>
  <si>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</si>
  <si>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</si>
  <si>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</si>
  <si>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</si>
  <si>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</si>
  <si>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</si>
  <si>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</si>
  <si>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</si>
  <si>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</si>
  <si>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</si>
  <si>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</si>
  <si>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</si>
  <si>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</si>
  <si>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</si>
  <si>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</si>
  <si>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</si>
  <si>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</si>
  <si>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</si>
  <si>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</si>
  <si>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</si>
  <si>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</si>
  <si>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</si>
  <si>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</si>
  <si>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</si>
  <si>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</si>
  <si>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</si>
  <si>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</si>
  <si>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</si>
  <si>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</si>
  <si>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</si>
  <si>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</si>
  <si>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</si>
  <si>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</si>
  <si>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</si>
  <si>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</si>
  <si>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</si>
  <si>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</si>
  <si>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</si>
  <si>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</si>
  <si>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</si>
  <si>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</si>
  <si>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</si>
  <si>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</si>
  <si>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</si>
  <si>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</si>
  <si>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</si>
  <si>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</si>
  <si>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</si>
  <si>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</si>
  <si>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</si>
  <si>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</si>
  <si>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</si>
  <si>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</si>
  <si>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</si>
  <si>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</si>
  <si>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</si>
  <si>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</si>
  <si>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</si>
  <si>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</si>
  <si>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</si>
  <si>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</si>
  <si>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</si>
  <si>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</si>
  <si>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</si>
  <si>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</si>
  <si>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</si>
  <si>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</si>
  <si>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</si>
  <si>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</si>
  <si>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</si>
  <si>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</si>
  <si>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</si>
  <si>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</si>
  <si>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</si>
  <si>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</si>
  <si>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</si>
  <si>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</si>
  <si>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</si>
  <si>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</si>
  <si>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</si>
  <si>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</si>
  <si>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</si>
  <si>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</si>
  <si>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</si>
  <si>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</si>
  <si>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</si>
  <si>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</si>
  <si>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</si>
  <si>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</si>
  <si>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</si>
  <si>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</si>
  <si>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</si>
  <si>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</si>
  <si>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</si>
  <si>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</si>
  <si>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</si>
  <si>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</si>
  <si>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</si>
  <si>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</si>
  <si>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</si>
  <si>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</si>
  <si>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</si>
  <si>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</si>
  <si>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</si>
  <si>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</si>
  <si>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</si>
  <si>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</si>
  <si>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</si>
  <si>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</si>
  <si>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</si>
  <si>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</si>
  <si>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</si>
  <si>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</si>
  <si>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</si>
  <si>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</si>
  <si>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</si>
  <si>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</si>
  <si>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</si>
  <si>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</si>
  <si>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</si>
  <si>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</si>
  <si>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</si>
  <si>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</si>
  <si>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</si>
  <si>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</si>
  <si>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</si>
  <si>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</si>
  <si>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</si>
  <si>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</si>
  <si>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</si>
  <si>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</si>
  <si>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</si>
  <si>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</si>
  <si>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</si>
  <si>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</si>
  <si>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</si>
  <si>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</si>
  <si>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</si>
  <si>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</si>
  <si>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</si>
  <si>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</si>
  <si>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</si>
  <si>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</si>
  <si>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</si>
  <si>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</si>
  <si>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</si>
  <si>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</si>
  <si>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</si>
  <si>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</si>
  <si>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</si>
  <si>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</si>
  <si>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</si>
  <si>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</si>
  <si>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</si>
  <si>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</si>
  <si>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</si>
  <si>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</si>
  <si>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</si>
  <si>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</si>
  <si>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</si>
  <si>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</si>
  <si>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</si>
  <si>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</si>
  <si>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</si>
  <si>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</si>
  <si>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</si>
  <si>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</si>
  <si>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</si>
  <si>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</si>
  <si>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</si>
  <si>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</si>
  <si>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</si>
  <si>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</si>
  <si>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</si>
  <si>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</si>
  <si>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</si>
  <si>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</si>
  <si>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</si>
  <si>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</si>
  <si>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</si>
  <si>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</si>
  <si>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</si>
  <si>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</si>
  <si>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</si>
  <si>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</si>
  <si>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</si>
  <si>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</si>
  <si>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</si>
  <si>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</si>
  <si>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</si>
  <si>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</si>
  <si>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</si>
  <si>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</si>
  <si>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</si>
  <si>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</si>
  <si>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</si>
  <si>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</si>
  <si>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</si>
  <si>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</si>
  <si>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</si>
  <si>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</si>
  <si>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</si>
  <si>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</si>
  <si>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</si>
  <si>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</si>
  <si>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</si>
  <si>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</si>
  <si>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</si>
  <si>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</si>
  <si>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</si>
  <si>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</si>
  <si>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</si>
  <si>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</si>
  <si>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</si>
  <si>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</si>
  <si>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</si>
  <si>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</si>
  <si>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</si>
  <si>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</si>
  <si>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</si>
  <si>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</si>
  <si>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</si>
  <si>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</si>
  <si>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</si>
  <si>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</si>
  <si>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</si>
  <si>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</si>
  <si>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</si>
  <si>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</si>
  <si>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</si>
  <si>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</si>
  <si>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</si>
  <si>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</si>
  <si>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</si>
  <si>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</si>
  <si>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</si>
  <si>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</si>
  <si>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</si>
  <si>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</si>
  <si>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</si>
  <si>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</si>
  <si>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</si>
  <si>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</si>
  <si>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</si>
  <si>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</si>
  <si>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</si>
  <si>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</si>
  <si>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</si>
  <si>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</si>
  <si>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</si>
  <si>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</si>
  <si>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</si>
  <si>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</si>
  <si>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</si>
  <si>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</si>
  <si>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</si>
  <si>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</si>
  <si>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</si>
  <si>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</si>
  <si>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</si>
  <si>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</si>
  <si>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</si>
  <si>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</si>
  <si>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</si>
  <si>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</si>
  <si>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</si>
  <si>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</si>
  <si>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</si>
  <si>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</si>
  <si>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</si>
  <si>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</si>
  <si>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</si>
  <si>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</si>
  <si>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</si>
  <si>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</si>
  <si>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</si>
  <si>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</si>
  <si>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</si>
  <si>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</si>
  <si>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</si>
  <si>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</si>
  <si>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</si>
  <si>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</si>
  <si>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</si>
  <si>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</si>
  <si>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</si>
  <si>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</si>
  <si>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</si>
  <si>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</si>
  <si>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</si>
  <si>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</si>
  <si>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</si>
  <si>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</si>
  <si>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</si>
  <si>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</si>
  <si>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</si>
  <si>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</si>
  <si>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</si>
  <si>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</si>
  <si>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</si>
  <si>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</si>
  <si>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</si>
  <si>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</si>
  <si>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</si>
  <si>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</si>
  <si>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</si>
  <si>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</si>
  <si>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</si>
  <si>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</si>
  <si>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</si>
  <si>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</si>
  <si>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</si>
  <si>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</si>
  <si>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</si>
  <si>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</si>
  <si>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</si>
  <si>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</si>
  <si>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</si>
  <si>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</si>
  <si>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</si>
  <si>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</si>
  <si>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</si>
  <si>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</si>
  <si>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</si>
  <si>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</si>
  <si>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</si>
  <si>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</si>
  <si>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</si>
  <si>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</si>
  <si>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</si>
  <si>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</si>
  <si>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</si>
  <si>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</si>
  <si>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</si>
  <si>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</si>
  <si>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</si>
  <si>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</si>
  <si>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</si>
  <si>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</si>
  <si>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</si>
  <si>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</si>
  <si>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</si>
  <si>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</si>
  <si>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</si>
  <si>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</si>
  <si>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</si>
  <si>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</si>
  <si>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</si>
  <si>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</si>
  <si>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</si>
  <si>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</si>
  <si>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</si>
  <si>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</si>
  <si>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</si>
  <si>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</si>
  <si>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</si>
  <si>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</si>
  <si>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</si>
  <si>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</si>
  <si>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</si>
  <si>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</si>
  <si>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</si>
  <si>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</si>
  <si>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</si>
  <si>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</si>
  <si>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</si>
  <si>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</si>
  <si>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</si>
  <si>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</si>
  <si>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</si>
  <si>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</si>
  <si>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</si>
  <si>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</si>
  <si>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</si>
  <si>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</si>
  <si>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</si>
  <si>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</si>
  <si>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</si>
  <si>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</si>
  <si>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</si>
  <si>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</si>
  <si>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</si>
  <si>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</si>
  <si>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</si>
  <si>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</si>
  <si>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</si>
  <si>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</si>
  <si>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</si>
  <si>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</si>
  <si>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</si>
  <si>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</si>
  <si>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</si>
  <si>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</si>
  <si>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</si>
  <si>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</si>
  <si>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</si>
  <si>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</si>
  <si>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</si>
  <si>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</si>
  <si>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</si>
  <si>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</si>
  <si>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</si>
  <si>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</si>
  <si>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</si>
  <si>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</si>
  <si>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</si>
  <si>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</si>
  <si>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</si>
  <si>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</si>
  <si>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</si>
  <si>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</si>
  <si>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</si>
  <si>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</si>
  <si>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</si>
  <si>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</si>
  <si>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</si>
  <si>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</si>
  <si>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</si>
  <si>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</si>
  <si>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</si>
  <si>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</si>
  <si>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</si>
  <si>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</si>
  <si>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</si>
  <si>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</si>
  <si>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</si>
  <si>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</si>
  <si>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</si>
  <si>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</si>
  <si>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</si>
  <si>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</si>
  <si>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</si>
  <si>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</si>
  <si>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</si>
  <si>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</si>
  <si>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</si>
  <si>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</si>
  <si>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</si>
  <si>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</si>
  <si>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</si>
  <si>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</si>
  <si>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</si>
  <si>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</si>
  <si>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</si>
  <si>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</si>
  <si>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</si>
  <si>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</si>
  <si>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</si>
  <si>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</si>
  <si>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</si>
  <si>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</si>
  <si>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</si>
  <si>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</si>
  <si>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</si>
  <si>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</si>
  <si>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</si>
  <si>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</si>
  <si>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</si>
  <si>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</si>
  <si>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</si>
  <si>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</si>
  <si>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</si>
  <si>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</si>
  <si>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</si>
  <si>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</si>
  <si>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</si>
  <si>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</si>
  <si>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</si>
  <si>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</si>
  <si>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</si>
  <si>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</si>
  <si>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</si>
  <si>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</si>
  <si>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</si>
  <si>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</si>
  <si>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</si>
  <si>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</si>
  <si>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</si>
  <si>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</si>
  <si>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</si>
  <si>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</si>
  <si>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</si>
  <si>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</si>
  <si>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</si>
  <si>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</si>
  <si>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</si>
  <si>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</si>
  <si>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</si>
  <si>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</si>
  <si>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</si>
  <si>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</si>
  <si>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</si>
  <si>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</si>
  <si>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</si>
  <si>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</si>
  <si>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</si>
  <si>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</si>
  <si>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</si>
  <si>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</si>
  <si>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</si>
  <si>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</si>
  <si>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</si>
  <si>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</si>
  <si>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</si>
  <si>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</si>
  <si>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</si>
  <si>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</si>
  <si>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</si>
  <si>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</si>
  <si>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</si>
  <si>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</si>
  <si>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</si>
  <si>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</si>
  <si>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</si>
  <si>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</si>
  <si>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</si>
  <si>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</si>
  <si>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</si>
  <si>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</si>
  <si>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</si>
  <si>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</si>
  <si>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</si>
  <si>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</si>
  <si>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</si>
  <si>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</si>
  <si>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</si>
  <si>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</si>
  <si>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</si>
  <si>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</si>
  <si>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</si>
  <si>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</si>
  <si>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</si>
  <si>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</si>
  <si>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</si>
  <si>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</si>
  <si>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</si>
  <si>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</si>
  <si>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</si>
  <si>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</si>
  <si>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</si>
  <si>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</si>
  <si>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</si>
  <si>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</si>
  <si>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</si>
  <si>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</si>
  <si>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</si>
  <si>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</si>
  <si>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</si>
  <si>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</si>
  <si>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</si>
  <si>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</si>
  <si>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</si>
  <si>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</si>
  <si>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</si>
  <si>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</si>
  <si>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</si>
  <si>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</si>
  <si>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</si>
  <si>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</si>
  <si>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</si>
  <si>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</si>
  <si>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</si>
  <si>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</si>
  <si>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</si>
  <si>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</si>
  <si>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</si>
  <si>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</si>
  <si>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</si>
  <si>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</si>
  <si>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</si>
  <si>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</si>
  <si>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</si>
  <si>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</si>
  <si>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</si>
  <si>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</si>
  <si>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</si>
  <si>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</si>
  <si>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</si>
  <si>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</si>
  <si>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</si>
  <si>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</si>
  <si>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</si>
  <si>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</si>
  <si>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</si>
  <si>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</si>
  <si>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</si>
  <si>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</si>
  <si>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</si>
  <si>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</si>
  <si>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</si>
  <si>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</si>
  <si>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</si>
  <si>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</si>
  <si>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</si>
  <si>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</si>
  <si>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</si>
  <si>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</si>
  <si>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</si>
  <si>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</si>
  <si>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</si>
  <si>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</si>
  <si>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</si>
  <si>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</si>
  <si>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</si>
  <si>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</si>
  <si>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</si>
  <si>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</si>
  <si>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</si>
  <si>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</si>
  <si>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</si>
  <si>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</si>
  <si>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</si>
  <si>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</si>
  <si>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</si>
  <si>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</si>
  <si>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</si>
  <si>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</si>
  <si>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</si>
  <si>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</si>
  <si>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</si>
  <si>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</si>
  <si>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</si>
  <si>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</si>
  <si>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</si>
  <si>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</si>
  <si>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</si>
  <si>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</si>
  <si>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</si>
  <si>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</si>
  <si>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</si>
  <si>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</si>
  <si>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</si>
  <si>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</si>
  <si>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</si>
  <si>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</si>
  <si>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</si>
  <si>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</si>
  <si>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</si>
  <si>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</si>
  <si>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</si>
  <si>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</si>
  <si>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</si>
  <si>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</si>
  <si>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</si>
  <si>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</si>
  <si>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</si>
  <si>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</si>
  <si>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</si>
  <si>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</si>
  <si>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</si>
  <si>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</si>
  <si>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</si>
  <si>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</si>
  <si>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</si>
  <si>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</si>
  <si>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</si>
  <si>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</si>
  <si>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</si>
  <si>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</si>
  <si>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</si>
  <si>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</si>
  <si>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</si>
  <si>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</si>
  <si>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</si>
  <si>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</si>
  <si>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</si>
  <si>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</si>
  <si>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</si>
  <si>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</si>
  <si>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</si>
  <si>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</si>
  <si>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</si>
  <si>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</si>
  <si>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</si>
  <si>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</si>
  <si>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</si>
  <si>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</si>
  <si>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</si>
  <si>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</si>
  <si>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</si>
  <si>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</si>
  <si>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</si>
  <si>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</si>
  <si>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</si>
  <si>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</si>
  <si>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</si>
  <si>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</si>
  <si>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</si>
  <si>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</si>
  <si>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</si>
  <si>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</si>
  <si>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</si>
  <si>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</si>
  <si>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</si>
  <si>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</si>
  <si>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</si>
  <si>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</si>
  <si>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</si>
  <si>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</si>
  <si>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</si>
  <si>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</si>
  <si>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</si>
  <si>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</si>
  <si>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</si>
  <si>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</si>
  <si>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</si>
  <si>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</si>
  <si>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</si>
  <si>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</si>
  <si>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</si>
  <si>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</si>
  <si>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</si>
  <si>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</si>
  <si>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</si>
  <si>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</si>
  <si>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</si>
  <si>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</si>
  <si>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</si>
  <si>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</si>
  <si>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</si>
  <si>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</si>
  <si>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</si>
  <si>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</si>
  <si>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</si>
  <si>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</si>
  <si>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</si>
  <si>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</si>
  <si>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</si>
  <si>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</si>
  <si>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</si>
  <si>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</si>
  <si>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</si>
  <si>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</si>
  <si>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</si>
  <si>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</si>
  <si>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</si>
  <si>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</si>
  <si>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</si>
  <si>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</si>
  <si>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</si>
  <si>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</si>
  <si>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</si>
  <si>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</si>
  <si>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</si>
  <si>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</si>
  <si>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</si>
  <si>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</si>
  <si>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</si>
  <si>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</si>
  <si>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</si>
  <si>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</si>
  <si>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</si>
  <si>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</si>
  <si>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</si>
  <si>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</si>
  <si>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</si>
  <si>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</si>
  <si>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</si>
  <si>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</si>
  <si>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</si>
  <si>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</si>
  <si>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</si>
  <si>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</si>
  <si>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</si>
  <si>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</si>
  <si>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</si>
  <si>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</si>
  <si>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</si>
  <si>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</si>
  <si>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</si>
  <si>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</si>
  <si>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</si>
  <si>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</si>
  <si>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</si>
  <si>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</si>
  <si>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</si>
  <si>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</si>
  <si>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</si>
  <si>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</si>
  <si>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</si>
  <si>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</si>
  <si>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</si>
  <si>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</si>
  <si>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</si>
  <si>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</si>
  <si>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</si>
  <si>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</si>
  <si>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</si>
  <si>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</si>
  <si>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</si>
  <si>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</si>
  <si>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</si>
  <si>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</si>
  <si>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</si>
  <si>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</si>
  <si>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</si>
  <si>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</si>
  <si>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</si>
  <si>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</si>
  <si>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</si>
  <si>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</si>
  <si>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</si>
  <si>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</si>
  <si>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</si>
  <si>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</si>
  <si>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</si>
  <si>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</si>
  <si>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</si>
  <si>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</si>
  <si>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</si>
  <si>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</si>
  <si>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</si>
  <si>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</si>
  <si>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</si>
  <si>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</si>
  <si>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</si>
  <si>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</si>
  <si>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</si>
  <si>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</si>
  <si>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</si>
  <si>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</si>
  <si>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</si>
  <si>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</si>
  <si>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</si>
  <si>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</si>
  <si>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</si>
  <si>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</si>
  <si>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</si>
  <si>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</si>
  <si>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</si>
  <si>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</si>
  <si>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</si>
  <si>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</si>
  <si>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</si>
  <si>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</si>
  <si>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</si>
  <si>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</si>
  <si>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</si>
  <si>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</si>
  <si>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</si>
  <si>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</si>
  <si>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</si>
  <si>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</si>
  <si>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</si>
  <si>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</si>
  <si>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</si>
  <si>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</si>
  <si>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</si>
  <si>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</si>
  <si>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</si>
  <si>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</si>
  <si>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</si>
  <si>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</si>
  <si>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</si>
  <si>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</si>
  <si>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</si>
  <si>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</si>
  <si>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</si>
  <si>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</si>
  <si>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</si>
  <si>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</si>
  <si>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</si>
  <si>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</si>
  <si>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</si>
  <si>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</si>
  <si>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</si>
  <si>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</si>
  <si>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</si>
  <si>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</si>
  <si>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</si>
  <si>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</si>
  <si>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</si>
  <si>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</si>
  <si>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</si>
  <si>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</si>
  <si>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</si>
  <si>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</si>
  <si>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</si>
  <si>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</si>
  <si>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</si>
  <si>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</si>
  <si>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</si>
  <si>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</si>
  <si>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</si>
  <si>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</si>
  <si>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</si>
  <si>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</si>
  <si>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</si>
  <si>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</si>
  <si>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</si>
  <si>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</si>
  <si>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</si>
  <si>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</si>
  <si>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</si>
  <si>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</si>
  <si>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</si>
  <si>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</si>
  <si>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</si>
  <si>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</si>
  <si>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</si>
  <si>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</si>
  <si>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</si>
  <si>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</si>
  <si>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</si>
  <si>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</si>
  <si>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</si>
  <si>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</si>
  <si>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</si>
  <si>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</si>
  <si>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</si>
  <si>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</si>
  <si>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</si>
  <si>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</si>
  <si>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</si>
  <si>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</si>
  <si>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</si>
  <si>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</si>
  <si>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</si>
  <si>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</si>
  <si>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</si>
  <si>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</si>
  <si>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</si>
  <si>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</si>
  <si>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</si>
  <si>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</si>
  <si>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</si>
  <si>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</si>
  <si>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</si>
  <si>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</si>
  <si>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</si>
  <si>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</si>
  <si>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</si>
  <si>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</si>
  <si>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</si>
  <si>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</si>
  <si>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</si>
  <si>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</si>
  <si>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</si>
  <si>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</si>
  <si>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</si>
  <si>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</si>
  <si>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</si>
  <si>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</si>
  <si>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</si>
  <si>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</si>
  <si>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</si>
  <si>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</si>
  <si>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</si>
  <si>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</si>
  <si>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</si>
  <si>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</si>
  <si>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</si>
  <si>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</si>
  <si>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</si>
  <si>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</si>
  <si>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</si>
  <si>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</si>
  <si>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</si>
  <si>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</si>
  <si>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</si>
  <si>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</si>
  <si>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</si>
  <si>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</si>
  <si>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</si>
  <si>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</si>
  <si>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</si>
  <si>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</si>
  <si>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</si>
  <si>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</si>
  <si>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</si>
  <si>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</si>
  <si>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</si>
  <si>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</si>
  <si>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</si>
  <si>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</si>
  <si>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</si>
  <si>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</si>
  <si>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</si>
  <si>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</si>
  <si>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</si>
  <si>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</si>
  <si>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</si>
  <si>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</si>
  <si>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</si>
  <si>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</si>
  <si>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</si>
  <si>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</si>
  <si>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</si>
  <si>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</si>
  <si>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</si>
  <si>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</si>
  <si>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</si>
  <si>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</si>
  <si>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</si>
  <si>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</si>
  <si>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</si>
  <si>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</si>
  <si>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</si>
  <si>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</si>
  <si>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</si>
  <si>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</si>
  <si>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</si>
  <si>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</si>
  <si>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</si>
  <si>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</si>
  <si>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</si>
  <si>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</si>
  <si>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</si>
  <si>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</si>
  <si>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</si>
  <si>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</si>
  <si>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</si>
  <si>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</si>
  <si>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</si>
  <si>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</si>
  <si>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</si>
  <si>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</si>
  <si>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</si>
  <si>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</si>
  <si>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</si>
  <si>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</si>
  <si>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</si>
  <si>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</si>
  <si>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</si>
  <si>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</si>
  <si>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</si>
  <si>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</si>
  <si>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</si>
  <si>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</si>
  <si>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</si>
  <si>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</si>
  <si>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</si>
  <si>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</si>
  <si>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</si>
  <si>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</si>
  <si>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</si>
  <si>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</si>
  <si>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</si>
  <si>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</si>
  <si>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</si>
  <si>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</si>
  <si>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</si>
  <si>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</si>
  <si>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</si>
  <si>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</si>
  <si>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</si>
  <si>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</si>
  <si>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</si>
  <si>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</si>
  <si>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</si>
  <si>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</si>
  <si>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</si>
  <si>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</si>
  <si>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</si>
  <si>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</si>
  <si>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</si>
  <si>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</si>
  <si>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</si>
  <si>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</si>
  <si>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</si>
  <si>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</si>
  <si>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</si>
  <si>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</si>
  <si>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</si>
  <si>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</si>
  <si>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</si>
  <si>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</si>
  <si>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</si>
  <si>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</si>
  <si>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</si>
  <si>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</si>
  <si>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</si>
  <si>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</si>
  <si>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</si>
  <si>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</si>
  <si>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</si>
  <si>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</si>
  <si>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</si>
  <si>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</si>
  <si>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</si>
  <si>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</si>
  <si>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</si>
  <si>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</si>
  <si>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</si>
  <si>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</si>
  <si>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</si>
  <si>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</si>
  <si>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</si>
  <si>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</si>
  <si>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</si>
  <si>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</si>
  <si>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</si>
  <si>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</si>
  <si>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</si>
  <si>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</si>
  <si>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</si>
  <si>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</si>
  <si>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</si>
  <si>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</si>
  <si>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</si>
  <si>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</si>
  <si>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</si>
  <si>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</si>
  <si>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</si>
  <si>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</si>
  <si>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</si>
  <si>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</si>
  <si>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</si>
  <si>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</si>
  <si>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</si>
  <si>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</si>
  <si>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</si>
  <si>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</si>
  <si>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</si>
  <si>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</si>
  <si>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</si>
  <si>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</si>
  <si>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</si>
  <si>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</si>
  <si>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</si>
  <si>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</si>
  <si>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</si>
  <si>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</si>
  <si>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</si>
  <si>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</si>
  <si>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</si>
  <si>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</si>
  <si>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</si>
  <si>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</si>
  <si>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</si>
  <si>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</si>
  <si>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</si>
  <si>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</si>
  <si>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</si>
  <si>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</si>
  <si>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</si>
  <si>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</si>
  <si>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</si>
  <si>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</si>
  <si>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</si>
  <si>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</si>
  <si>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</si>
  <si>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</si>
  <si>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</si>
  <si>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</si>
  <si>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</si>
  <si>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</si>
  <si>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</si>
  <si>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</si>
  <si>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</si>
  <si>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</si>
  <si>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</si>
  <si>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</si>
  <si>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</si>
  <si>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</si>
  <si>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</si>
  <si>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</si>
  <si>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</si>
  <si>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</si>
  <si>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</si>
  <si>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</si>
  <si>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</si>
  <si>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</si>
  <si>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</si>
  <si>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</si>
  <si>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</si>
  <si>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</si>
  <si>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</si>
  <si>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</si>
  <si>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</si>
  <si>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</si>
  <si>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</si>
  <si>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</si>
  <si>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</si>
  <si>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</si>
  <si>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</si>
  <si>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</si>
  <si>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</si>
  <si>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</si>
  <si>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</si>
  <si>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</si>
  <si>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</si>
  <si>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</si>
  <si>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</si>
  <si>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</si>
  <si>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</si>
  <si>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</si>
  <si>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</si>
  <si>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</si>
  <si>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</si>
  <si>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</si>
  <si>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</si>
  <si>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</si>
  <si>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</si>
  <si>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</si>
  <si>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</si>
  <si>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</si>
  <si>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</si>
  <si>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</si>
  <si>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</si>
  <si>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</si>
  <si>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</si>
  <si>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</si>
  <si>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</si>
  <si>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</si>
  <si>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</si>
  <si>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</si>
  <si>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</si>
  <si>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</si>
  <si>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</si>
  <si>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</si>
  <si>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</si>
  <si>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</si>
  <si>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</si>
  <si>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</si>
  <si>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</si>
  <si>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</si>
  <si>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</si>
  <si>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</si>
  <si>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</si>
  <si>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</si>
  <si>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</si>
  <si>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</si>
  <si>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</si>
  <si>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</si>
  <si>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</si>
  <si>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</si>
  <si>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</si>
  <si>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</si>
  <si>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</si>
  <si>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</si>
  <si>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</si>
  <si>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</si>
  <si>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</si>
  <si>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</si>
  <si>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</si>
  <si>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</si>
  <si>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</si>
  <si>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</si>
  <si>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</si>
  <si>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</si>
  <si>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</si>
  <si>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</si>
  <si>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</si>
  <si>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</si>
  <si>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</si>
  <si>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</si>
  <si>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</si>
  <si>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</si>
  <si>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</si>
  <si>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</si>
  <si>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</si>
  <si>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</si>
  <si>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</si>
  <si>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</si>
  <si>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</si>
  <si>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</si>
  <si>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</si>
  <si>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</si>
  <si>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</si>
  <si>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</si>
  <si>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</si>
  <si>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</si>
  <si>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</si>
  <si>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</si>
  <si>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</si>
  <si>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</si>
  <si>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</si>
  <si>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</si>
  <si>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</si>
  <si>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</si>
  <si>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</si>
  <si>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</si>
  <si>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</si>
  <si>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</si>
  <si>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</si>
  <si>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</si>
  <si>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</si>
  <si>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</si>
  <si>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</si>
  <si>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</si>
  <si>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</si>
  <si>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</si>
  <si>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</si>
  <si>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</si>
  <si>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</si>
  <si>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</si>
  <si>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</si>
  <si>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</si>
  <si>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</si>
  <si>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</si>
  <si>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</si>
  <si>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</si>
  <si>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</si>
  <si>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</si>
  <si>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</si>
  <si>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</si>
  <si>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</si>
  <si>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</si>
  <si>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</si>
  <si>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</si>
  <si>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</si>
  <si>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</si>
  <si>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</si>
  <si>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</si>
  <si>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</si>
  <si>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</si>
  <si>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</si>
  <si>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</si>
  <si>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</si>
  <si>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</si>
  <si>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</si>
  <si>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</si>
  <si>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</si>
  <si>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</si>
  <si>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</si>
  <si>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</si>
  <si>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</si>
  <si>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</si>
  <si>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</si>
  <si>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</si>
  <si>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</si>
  <si>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</si>
  <si>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</si>
  <si>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</si>
  <si>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</si>
  <si>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</si>
  <si>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</si>
  <si>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</si>
  <si>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</si>
  <si>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</si>
  <si>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</si>
  <si>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</si>
  <si>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</si>
  <si>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</si>
  <si>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</si>
  <si>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</si>
  <si>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</si>
  <si>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</si>
  <si>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</si>
  <si>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</si>
  <si>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</si>
  <si>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</si>
  <si>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</si>
  <si>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</si>
  <si>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</si>
  <si>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</si>
  <si>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</si>
  <si>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</si>
  <si>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</si>
  <si>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</si>
  <si>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</si>
  <si>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</si>
  <si>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</si>
  <si>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</si>
  <si>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</si>
  <si>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</si>
  <si>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</si>
  <si>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</si>
  <si>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</si>
  <si>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</si>
  <si>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</si>
  <si>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</si>
  <si>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</si>
  <si>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</si>
  <si>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</si>
  <si>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</si>
  <si>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</si>
  <si>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</si>
  <si>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</si>
  <si>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</si>
  <si>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</si>
  <si>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</si>
  <si>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</si>
  <si>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</si>
  <si>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</si>
  <si>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</si>
  <si>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</si>
  <si>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</si>
  <si>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</si>
  <si>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</si>
  <si>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</si>
  <si>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</si>
  <si>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</si>
  <si>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</si>
  <si>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</si>
  <si>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</si>
  <si>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</si>
  <si>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</si>
  <si>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</si>
  <si>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</si>
  <si>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</si>
  <si>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</si>
  <si>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</si>
  <si>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</si>
  <si>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</si>
  <si>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</si>
  <si>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</si>
  <si>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</si>
  <si>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</si>
  <si>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</si>
  <si>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</si>
  <si>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</si>
  <si>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</si>
  <si>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</si>
  <si>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</si>
  <si>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</si>
  <si>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</si>
  <si>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</si>
  <si>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</si>
  <si>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</si>
  <si>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</si>
  <si>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</si>
  <si>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</si>
  <si>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</si>
  <si>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</si>
  <si>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</si>
  <si>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</si>
  <si>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</si>
  <si>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</si>
  <si>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</si>
  <si>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</si>
  <si>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</si>
  <si>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</si>
  <si>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</si>
  <si>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</si>
  <si>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</si>
  <si>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</si>
  <si>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</si>
  <si>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</si>
  <si>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</si>
  <si>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</si>
  <si>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</si>
  <si>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</si>
  <si>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</si>
  <si>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</si>
  <si>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</si>
  <si>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</si>
  <si>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</si>
  <si>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</si>
  <si>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</si>
  <si>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</si>
  <si>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</si>
  <si>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</si>
  <si>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</si>
  <si>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</si>
  <si>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</si>
  <si>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</si>
  <si>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</si>
  <si>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</si>
  <si>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</si>
  <si>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</si>
  <si>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</si>
  <si>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</si>
  <si>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</si>
  <si>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</si>
  <si>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</si>
  <si>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</si>
  <si>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</si>
  <si>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</si>
  <si>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</si>
  <si>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</si>
  <si>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</si>
  <si>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</si>
  <si>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</si>
  <si>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</si>
  <si>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</si>
  <si>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</si>
  <si>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</si>
  <si>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</si>
  <si>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</si>
  <si>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</si>
  <si>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</si>
  <si>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</si>
  <si>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</si>
  <si>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</si>
  <si>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</si>
  <si>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</si>
  <si>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</si>
  <si>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</si>
  <si>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</si>
  <si>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</si>
  <si>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</si>
  <si>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</si>
  <si>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</si>
  <si>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</si>
  <si>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</si>
  <si>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</si>
  <si>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</si>
  <si>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</si>
  <si>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</si>
  <si>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</si>
  <si>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</si>
  <si>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</si>
  <si>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</si>
  <si>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</si>
  <si>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</si>
  <si>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</si>
  <si>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</si>
  <si>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</si>
  <si>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</si>
  <si>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</si>
  <si>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</si>
  <si>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</si>
  <si>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</si>
  <si>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</si>
  <si>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</si>
  <si>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</si>
  <si>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</si>
  <si>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</si>
  <si>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</si>
  <si>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</si>
  <si>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</si>
  <si>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</si>
  <si>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</si>
  <si>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</si>
  <si>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</si>
  <si>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</si>
  <si>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</si>
  <si>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</si>
  <si>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</si>
  <si>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</si>
  <si>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</si>
  <si>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</si>
  <si>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</si>
  <si>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</si>
  <si>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</si>
  <si>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</si>
  <si>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</si>
  <si>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</si>
  <si>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</si>
  <si>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</si>
  <si>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</si>
  <si>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</si>
  <si>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</si>
  <si>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</si>
  <si>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</si>
  <si>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</si>
  <si>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</si>
  <si>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</si>
  <si>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</si>
  <si>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</si>
  <si>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</si>
  <si>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</si>
  <si>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</si>
  <si>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</si>
  <si>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</si>
  <si>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</si>
  <si>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</si>
  <si>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</si>
  <si>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</si>
  <si>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</si>
  <si>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</si>
  <si>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</si>
  <si>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</si>
  <si>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</si>
  <si>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</si>
  <si>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</si>
  <si>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</si>
  <si>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</si>
  <si>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</si>
  <si>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</si>
  <si>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</si>
  <si>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</si>
  <si>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</si>
  <si>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</si>
  <si>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</si>
  <si>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</si>
  <si>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</si>
  <si>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</si>
  <si>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</si>
  <si>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</si>
  <si>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</si>
  <si>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</si>
  <si>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</si>
  <si>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</si>
  <si>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</si>
  <si>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</si>
  <si>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</si>
  <si>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</si>
  <si>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</si>
  <si>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</si>
  <si>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</si>
  <si>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</si>
  <si>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</si>
  <si>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</si>
  <si>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</si>
  <si>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</si>
  <si>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</si>
  <si>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</si>
  <si>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</si>
  <si>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</si>
  <si>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</si>
  <si>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</si>
  <si>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</si>
  <si>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</si>
  <si>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</si>
  <si>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</si>
  <si>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</si>
  <si>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</si>
  <si>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</si>
  <si>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</si>
  <si>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</si>
  <si>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</si>
  <si>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</si>
  <si>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</si>
  <si>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</si>
  <si>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</si>
  <si>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</si>
  <si>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</si>
  <si>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</si>
  <si>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</si>
  <si>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</si>
  <si>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</si>
  <si>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</si>
  <si>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</si>
  <si>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</si>
  <si>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</si>
  <si>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</si>
  <si>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</si>
  <si>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</si>
  <si>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</si>
  <si>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</si>
  <si>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</si>
  <si>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</si>
  <si>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</si>
  <si>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</si>
  <si>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</si>
  <si>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</si>
  <si>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</si>
  <si>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</si>
  <si>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</si>
  <si>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</si>
  <si>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</si>
  <si>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</si>
  <si>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</si>
  <si>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</si>
  <si>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</si>
  <si>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</si>
  <si>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</si>
  <si>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</si>
  <si>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</si>
  <si>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</si>
  <si>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</si>
  <si>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</si>
  <si>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</si>
  <si>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</si>
  <si>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</si>
  <si>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</si>
  <si>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</si>
  <si>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</si>
  <si>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</si>
  <si>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</si>
  <si>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</si>
  <si>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</si>
  <si>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</si>
  <si>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</si>
  <si>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</si>
  <si>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</si>
  <si>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</si>
  <si>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</si>
  <si>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</si>
  <si>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</si>
  <si>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</si>
  <si>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</si>
  <si>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</si>
  <si>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</si>
  <si>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</si>
  <si>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</si>
  <si>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</si>
  <si>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</si>
  <si>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</si>
  <si>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</si>
  <si>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</si>
  <si>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</si>
  <si>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</si>
  <si>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</si>
  <si>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</si>
  <si>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</si>
  <si>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</si>
  <si>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</si>
  <si>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</si>
  <si>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</si>
  <si>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</si>
  <si>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</si>
  <si>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</si>
  <si>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</si>
  <si>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</si>
  <si>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</si>
  <si>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</si>
  <si>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</si>
  <si>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</si>
  <si>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</si>
  <si>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</si>
  <si>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</si>
  <si>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</si>
  <si>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</si>
  <si>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</si>
  <si>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</si>
  <si>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</si>
  <si>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</si>
  <si>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</si>
  <si>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</si>
  <si>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</si>
  <si>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</si>
  <si>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</si>
  <si>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</si>
  <si>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</si>
  <si>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</si>
  <si>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</si>
  <si>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</si>
  <si>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</si>
  <si>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</si>
  <si>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</si>
  <si>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</si>
  <si>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</si>
  <si>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</si>
  <si>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</si>
  <si>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</si>
  <si>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</si>
  <si>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</si>
  <si>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</si>
  <si>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</si>
  <si>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</si>
  <si>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</si>
  <si>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</si>
  <si>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</si>
  <si>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</si>
  <si>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</si>
  <si>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</si>
  <si>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</si>
  <si>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</si>
  <si>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</si>
  <si>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</si>
  <si>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</si>
  <si>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</si>
  <si>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</si>
  <si>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</si>
  <si>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</si>
  <si>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</si>
  <si>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</si>
  <si>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</si>
  <si>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</si>
  <si>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</si>
  <si>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</si>
  <si>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</si>
  <si>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</si>
  <si>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</si>
  <si>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</si>
  <si>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</si>
  <si>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</si>
  <si>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</si>
  <si>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</si>
  <si>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</si>
  <si>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</si>
  <si>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</si>
  <si>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</si>
  <si>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</si>
  <si>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</si>
  <si>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</si>
  <si>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</si>
  <si>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</si>
  <si>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</si>
  <si>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</si>
  <si>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</si>
  <si>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</si>
  <si>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</si>
  <si>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</si>
  <si>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</si>
  <si>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</si>
  <si>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</si>
  <si>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</si>
  <si>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</si>
  <si>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</si>
  <si>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</si>
  <si>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</si>
  <si>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</si>
  <si>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</si>
  <si>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</si>
  <si>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</si>
  <si>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</si>
  <si>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</si>
  <si>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</si>
  <si>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</si>
  <si>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</si>
  <si>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</si>
  <si>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</si>
  <si>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</si>
  <si>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</si>
  <si>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</si>
  <si>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</si>
  <si>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</si>
  <si>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</si>
  <si>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</si>
  <si>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</si>
  <si>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</si>
  <si>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</si>
  <si>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</si>
  <si>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</si>
  <si>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</si>
  <si>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</si>
  <si>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</si>
  <si>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</si>
  <si>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</si>
  <si>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</si>
  <si>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</si>
  <si>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</si>
  <si>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</si>
  <si>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</si>
  <si>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</si>
  <si>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</si>
  <si>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</si>
  <si>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</si>
  <si>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</si>
  <si>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</si>
  <si>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</si>
  <si>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</si>
  <si>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</si>
  <si>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</si>
  <si>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</si>
  <si>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</si>
  <si>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</si>
  <si>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</si>
  <si>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</si>
  <si>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</si>
  <si>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</si>
  <si>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</si>
  <si>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</si>
  <si>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</si>
  <si>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</si>
  <si>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</si>
  <si>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</si>
  <si>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</si>
  <si>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</si>
  <si>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</si>
  <si>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</si>
  <si>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</si>
  <si>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</si>
  <si>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</si>
  <si>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</si>
  <si>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</si>
  <si>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</si>
  <si>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</si>
  <si>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</si>
  <si>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</si>
  <si>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</si>
  <si>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</si>
  <si>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</si>
  <si>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</si>
  <si>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</si>
  <si>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</si>
  <si>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</si>
  <si>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</si>
  <si>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</si>
  <si>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</si>
  <si>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</si>
  <si>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</si>
  <si>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</si>
  <si>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</si>
  <si>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</si>
  <si>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</si>
  <si>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</si>
  <si>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</si>
  <si>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</si>
  <si>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</si>
  <si>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</si>
  <si>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</si>
  <si>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</si>
  <si>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</si>
  <si>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</si>
  <si>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</si>
  <si>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</si>
  <si>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</si>
  <si>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</si>
  <si>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</si>
  <si>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</si>
  <si>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</si>
  <si>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</si>
  <si>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</si>
  <si>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</si>
  <si>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</si>
  <si>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</si>
  <si>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</si>
  <si>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</si>
  <si>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</si>
  <si>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</si>
  <si>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</si>
  <si>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</si>
  <si>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</si>
  <si>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</si>
  <si>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</si>
  <si>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</si>
  <si>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</si>
  <si>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</si>
  <si>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</si>
  <si>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</si>
  <si>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</si>
  <si>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</si>
  <si>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</si>
  <si>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</si>
  <si>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</si>
  <si>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</si>
  <si>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</si>
  <si>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</si>
  <si>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</si>
  <si>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</si>
  <si>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</si>
  <si>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</si>
  <si>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</si>
  <si>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</si>
  <si>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</si>
  <si>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</si>
  <si>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</si>
  <si>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</si>
  <si>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</si>
  <si>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</si>
  <si>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</si>
  <si>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</si>
  <si>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</si>
  <si>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</si>
  <si>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</si>
  <si>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</si>
  <si>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</si>
  <si>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</si>
  <si>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</si>
  <si>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</si>
  <si>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</si>
  <si>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</si>
  <si>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</si>
  <si>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</si>
  <si>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</si>
  <si>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</si>
  <si>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</si>
  <si>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</si>
  <si>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</si>
  <si>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</si>
  <si>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</si>
  <si>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</si>
  <si>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</si>
  <si>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</si>
  <si>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</si>
  <si>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</si>
  <si>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</si>
  <si>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</si>
  <si>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</si>
  <si>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</si>
  <si>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</si>
  <si>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</si>
  <si>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</si>
  <si>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</si>
  <si>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</si>
  <si>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</si>
  <si>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</si>
  <si>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</si>
  <si>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</si>
  <si>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</si>
  <si>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</si>
  <si>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</si>
  <si>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</si>
  <si>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</si>
  <si>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</si>
  <si>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</si>
  <si>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</si>
  <si>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</si>
  <si>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</si>
  <si>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</si>
  <si>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</si>
  <si>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</si>
  <si>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</si>
  <si>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</si>
  <si>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</si>
  <si>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</si>
  <si>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</si>
  <si>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</si>
  <si>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</si>
  <si>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</si>
  <si>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</si>
  <si>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</si>
  <si>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</si>
  <si>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</si>
  <si>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</si>
  <si>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</si>
  <si>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</si>
  <si>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</si>
  <si>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</si>
  <si>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</si>
  <si>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</si>
  <si>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</si>
  <si>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</si>
  <si>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</si>
  <si>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</si>
  <si>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</si>
  <si>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</si>
  <si>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</si>
  <si>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</si>
  <si>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</si>
  <si>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</si>
  <si>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</si>
  <si>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</si>
  <si>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</si>
  <si>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</si>
  <si>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</si>
  <si>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</si>
  <si>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</si>
  <si>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</si>
  <si>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</si>
  <si>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</si>
  <si>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</si>
  <si>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</si>
  <si>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</si>
  <si>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</si>
  <si>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</si>
  <si>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</si>
  <si>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</si>
  <si>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</si>
  <si>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</si>
  <si>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</si>
  <si>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</si>
  <si>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</si>
  <si>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</si>
  <si>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</si>
  <si>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</si>
  <si>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</si>
  <si>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</si>
  <si>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</si>
  <si>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</si>
  <si>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</si>
  <si>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</si>
  <si>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</si>
  <si>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</si>
  <si>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</si>
  <si>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</si>
  <si>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</si>
  <si>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</si>
  <si>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</si>
  <si>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</si>
  <si>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</si>
  <si>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</si>
  <si>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</si>
  <si>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</si>
  <si>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</si>
  <si>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</si>
  <si>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</si>
  <si>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</si>
  <si>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</si>
  <si>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</si>
  <si>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</si>
  <si>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</si>
  <si>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</si>
  <si>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</si>
  <si>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</si>
  <si>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</si>
  <si>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</si>
  <si>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</si>
  <si>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</si>
  <si>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</si>
  <si>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</si>
  <si>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</si>
  <si>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</si>
  <si>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</si>
  <si>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</si>
  <si>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</si>
  <si>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</si>
  <si>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</si>
  <si>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</si>
  <si>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</si>
  <si>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</si>
  <si>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</si>
  <si>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</si>
  <si>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</si>
  <si>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</si>
  <si>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</si>
  <si>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</si>
  <si>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</si>
  <si>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</si>
  <si>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</si>
  <si>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</si>
  <si>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</si>
  <si>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</si>
  <si>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</si>
  <si>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</si>
  <si>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</si>
  <si>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</si>
  <si>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</si>
  <si>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</si>
  <si>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</si>
  <si>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</si>
  <si>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</si>
  <si>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</si>
  <si>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</si>
  <si>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</si>
  <si>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</si>
  <si>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</si>
  <si>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</si>
  <si>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</si>
  <si>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</si>
  <si>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</si>
  <si>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</si>
  <si>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</si>
  <si>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</si>
  <si>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</si>
  <si>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</si>
  <si>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</si>
  <si>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</si>
  <si>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</si>
  <si>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</si>
  <si>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</si>
  <si>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</si>
  <si>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</si>
  <si>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</si>
  <si>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</si>
  <si>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</si>
  <si>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</si>
  <si>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</si>
  <si>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</si>
  <si>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</si>
  <si>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</si>
  <si>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</si>
  <si>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</si>
  <si>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</si>
  <si>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</si>
  <si>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</si>
  <si>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</si>
  <si>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</si>
  <si>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</si>
  <si>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</si>
  <si>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</si>
  <si>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</si>
  <si>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</si>
  <si>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</si>
  <si>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</si>
  <si>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</si>
  <si>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</si>
  <si>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</si>
  <si>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</si>
  <si>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</si>
  <si>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</si>
  <si>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</si>
  <si>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</si>
  <si>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</si>
  <si>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</si>
  <si>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</si>
  <si>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</si>
  <si>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</si>
  <si>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</si>
  <si>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</si>
  <si>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</si>
  <si>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</si>
  <si>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</si>
  <si>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</si>
  <si>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</si>
  <si>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</si>
  <si>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</si>
  <si>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</si>
  <si>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</si>
  <si>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</si>
  <si>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</si>
  <si>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</si>
  <si>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</si>
  <si>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</si>
  <si>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</si>
  <si>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</si>
  <si>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</si>
  <si>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</si>
  <si>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</si>
  <si>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</si>
  <si>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</si>
  <si>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</si>
  <si>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</si>
  <si>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</si>
  <si>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</si>
  <si>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</si>
  <si>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</si>
  <si>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</si>
  <si>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</si>
  <si>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</si>
  <si>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</si>
  <si>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</si>
  <si>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</si>
  <si>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</si>
  <si>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</si>
  <si>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</si>
  <si>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</si>
  <si>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</si>
  <si>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</si>
  <si>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</si>
  <si>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</si>
  <si>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</si>
  <si>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</si>
  <si>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</si>
  <si>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</si>
  <si>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</si>
  <si>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</si>
  <si>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</si>
  <si>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</si>
  <si>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</si>
  <si>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</si>
  <si>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</si>
  <si>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</si>
  <si>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</si>
  <si>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</si>
  <si>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</si>
  <si>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</si>
  <si>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</si>
  <si>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</si>
  <si>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</si>
  <si>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</si>
  <si>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</si>
  <si>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</si>
  <si>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</si>
  <si>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</si>
  <si>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</si>
  <si>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</si>
  <si>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</si>
  <si>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</si>
  <si>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</si>
  <si>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</si>
  <si>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</si>
  <si>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</si>
  <si>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</si>
  <si>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</si>
  <si>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</si>
  <si>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</si>
  <si>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</si>
  <si>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</si>
  <si>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</si>
  <si>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</si>
  <si>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</si>
  <si>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</si>
  <si>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</si>
  <si>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</si>
  <si>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</si>
  <si>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</si>
  <si>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</si>
  <si>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</si>
  <si>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</si>
  <si>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</si>
  <si>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</si>
  <si>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</si>
  <si>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</si>
  <si>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</si>
  <si>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</si>
  <si>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</si>
  <si>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</si>
  <si>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</si>
  <si>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</si>
  <si>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</si>
  <si>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</si>
  <si>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</si>
  <si>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</si>
  <si>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</si>
  <si>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</si>
  <si>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</si>
  <si>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</si>
  <si>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</si>
  <si>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</si>
  <si>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</si>
  <si>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</si>
  <si>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</si>
  <si>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</si>
  <si>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</si>
  <si>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</si>
  <si>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</si>
  <si>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</si>
  <si>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</si>
  <si>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</si>
  <si>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</si>
  <si>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</si>
  <si>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</si>
  <si>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</si>
  <si>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</si>
  <si>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</si>
  <si>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</si>
  <si>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</si>
  <si>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</si>
  <si>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</si>
  <si>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</si>
  <si>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</si>
  <si>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</si>
  <si>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</si>
  <si>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</si>
  <si>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</si>
  <si>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</si>
  <si>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</si>
  <si>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</si>
  <si>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</si>
  <si>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</si>
  <si>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</si>
  <si>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</si>
  <si>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</si>
  <si>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</si>
  <si>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</si>
  <si>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</si>
  <si>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</si>
  <si>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</si>
  <si>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</si>
  <si>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</si>
  <si>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</si>
  <si>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</si>
  <si>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</si>
  <si>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</si>
  <si>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</si>
  <si>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</si>
  <si>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</si>
  <si>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</si>
  <si>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</si>
  <si>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</si>
  <si>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</si>
  <si>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</si>
  <si>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</si>
  <si>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</si>
  <si>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</si>
  <si>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</si>
  <si>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</si>
  <si>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</si>
  <si>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</si>
  <si>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</si>
  <si>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</si>
  <si>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</si>
  <si>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</si>
  <si>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</si>
  <si>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</si>
  <si>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</si>
  <si>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</si>
  <si>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</si>
  <si>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</si>
  <si>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</si>
  <si>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</si>
  <si>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</si>
  <si>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</si>
  <si>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</si>
  <si>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</si>
  <si>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</si>
  <si>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</si>
  <si>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</si>
  <si>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</si>
  <si>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</si>
  <si>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</si>
  <si>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</si>
  <si>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</si>
  <si>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</si>
  <si>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</si>
  <si>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</si>
  <si>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</si>
  <si>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</si>
  <si>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</si>
  <si>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</si>
  <si>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</si>
  <si>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</si>
  <si>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</si>
  <si>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</si>
  <si>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</si>
  <si>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</si>
  <si>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</si>
  <si>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</si>
  <si>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</si>
  <si>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</si>
  <si>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</si>
  <si>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</si>
  <si>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</si>
  <si>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</si>
  <si>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</si>
  <si>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</si>
  <si>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</si>
  <si>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</si>
  <si>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</si>
  <si>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</si>
  <si>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</si>
  <si>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</si>
  <si>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</si>
  <si>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</si>
  <si>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</si>
  <si>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</si>
  <si>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</si>
  <si>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</si>
  <si>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</si>
  <si>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</si>
  <si>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</si>
  <si>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</si>
  <si>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</si>
  <si>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</si>
  <si>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</si>
  <si>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</si>
  <si>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</si>
  <si>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</si>
  <si>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</si>
  <si>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</si>
  <si>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</si>
  <si>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</si>
  <si>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</si>
  <si>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</si>
  <si>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</si>
  <si>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</si>
  <si>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</si>
  <si>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</si>
  <si>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</si>
  <si>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</si>
  <si>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</si>
  <si>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</si>
  <si>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</si>
  <si>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</si>
  <si>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</si>
  <si>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</si>
  <si>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</si>
  <si>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</si>
  <si>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</si>
  <si>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</si>
  <si>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</si>
  <si>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</si>
  <si>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</si>
  <si>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</si>
  <si>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</si>
  <si>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</si>
  <si>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</si>
  <si>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</si>
  <si>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</si>
  <si>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</si>
  <si>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</si>
  <si>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</si>
  <si>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</si>
  <si>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</si>
  <si>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</si>
  <si>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</si>
  <si>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</si>
  <si>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</si>
  <si>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</si>
  <si>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</si>
  <si>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</si>
  <si>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</si>
  <si>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</si>
  <si>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</si>
  <si>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</si>
  <si>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</si>
  <si>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</si>
  <si>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</si>
  <si>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</si>
  <si>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</si>
  <si>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</si>
  <si>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</si>
  <si>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</si>
  <si>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</si>
  <si>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</si>
  <si>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</si>
  <si>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</si>
  <si>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</si>
  <si>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</si>
  <si>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</si>
  <si>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</si>
  <si>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</si>
  <si>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</si>
  <si>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</si>
  <si>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</si>
  <si>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</si>
  <si>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</si>
  <si>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</si>
  <si>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</si>
  <si>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</si>
  <si>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</si>
  <si>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</si>
  <si>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</si>
  <si>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</si>
  <si>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</si>
  <si>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</si>
  <si>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</si>
  <si>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</si>
  <si>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</si>
  <si>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</si>
  <si>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</si>
  <si>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</si>
  <si>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</si>
  <si>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</si>
  <si>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</si>
  <si>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</si>
  <si>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</si>
  <si>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</si>
  <si>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</si>
  <si>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</si>
  <si>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</si>
  <si>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</si>
  <si>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</si>
  <si>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</si>
  <si>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</si>
  <si>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</si>
  <si>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</si>
  <si>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</si>
  <si>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</si>
  <si>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</si>
  <si>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</si>
  <si>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</si>
  <si>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</si>
  <si>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</si>
  <si>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</si>
  <si>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</si>
  <si>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</si>
  <si>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</si>
  <si>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</si>
  <si>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</si>
  <si>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</si>
  <si>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</si>
  <si>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</si>
  <si>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</si>
  <si>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</si>
  <si>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</si>
  <si>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</si>
  <si>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</si>
  <si>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</si>
  <si>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</si>
  <si>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</si>
  <si>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</si>
  <si>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</si>
  <si>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</si>
  <si>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</si>
  <si>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</si>
  <si>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</si>
  <si>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</si>
  <si>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</si>
  <si>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</si>
  <si>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</si>
  <si>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</si>
  <si>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</si>
  <si>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</si>
  <si>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</si>
  <si>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</si>
  <si>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</si>
  <si>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</si>
  <si>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</si>
  <si>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</si>
  <si>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</si>
  <si>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</si>
  <si>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</si>
  <si>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</si>
  <si>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</si>
  <si>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</si>
  <si>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</si>
  <si>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</si>
  <si>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</si>
  <si>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</si>
  <si>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</si>
  <si>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</si>
  <si>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</si>
  <si>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</si>
  <si>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</si>
  <si>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</si>
  <si>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</si>
  <si>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</si>
  <si>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</si>
  <si>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</si>
  <si>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</si>
  <si>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</si>
  <si>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</si>
  <si>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</si>
  <si>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</si>
  <si>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</si>
  <si>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</si>
  <si>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</si>
  <si>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</si>
  <si>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</si>
  <si>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</si>
  <si>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</si>
  <si>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</si>
  <si>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</si>
  <si>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</si>
  <si>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</si>
  <si>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</si>
  <si>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</si>
  <si>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</si>
  <si>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</si>
  <si>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</si>
  <si>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</si>
  <si>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</si>
  <si>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</si>
  <si>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</si>
  <si>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</si>
  <si>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</si>
  <si>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</si>
  <si>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</si>
  <si>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</si>
  <si>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</si>
  <si>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</si>
  <si>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</si>
  <si>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</si>
  <si>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</si>
  <si>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</si>
  <si>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</si>
  <si>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</si>
  <si>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</si>
  <si>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</si>
  <si>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</si>
  <si>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</si>
  <si>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</si>
  <si>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</si>
  <si>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</si>
  <si>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</si>
  <si>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</si>
  <si>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</si>
  <si>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</si>
  <si>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</si>
  <si>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</si>
  <si>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</si>
  <si>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</si>
  <si>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</si>
  <si>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</si>
  <si>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</si>
  <si>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</si>
  <si>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</si>
  <si>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</si>
  <si>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</si>
  <si>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</si>
  <si>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</si>
  <si>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</si>
  <si>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</si>
  <si>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</si>
  <si>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</si>
  <si>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</si>
  <si>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</si>
  <si>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</si>
  <si>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</si>
  <si>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</si>
  <si>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</si>
  <si>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</si>
  <si>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</si>
  <si>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</si>
  <si>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</si>
  <si>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</si>
  <si>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</si>
  <si>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</si>
  <si>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</si>
  <si>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</si>
  <si>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</si>
  <si>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</si>
  <si>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</si>
  <si>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</si>
  <si>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</si>
  <si>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</si>
  <si>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</si>
  <si>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</si>
  <si>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</si>
  <si>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</si>
  <si>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</si>
  <si>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</si>
  <si>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</si>
  <si>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</si>
  <si>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</si>
  <si>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</si>
  <si>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</si>
  <si>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</si>
  <si>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</si>
  <si>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</si>
  <si>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</si>
  <si>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</si>
  <si>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</si>
  <si>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</si>
  <si>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</si>
  <si>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</si>
  <si>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</si>
  <si>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</si>
  <si>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</si>
  <si>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</si>
  <si>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</si>
  <si>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</si>
  <si>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</si>
  <si>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</si>
  <si>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</si>
  <si>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</si>
  <si>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</si>
  <si>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</si>
  <si>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</si>
  <si>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</si>
  <si>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</si>
  <si>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</si>
  <si>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</si>
  <si>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</si>
  <si>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</si>
  <si>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</si>
  <si>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</si>
  <si>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</si>
  <si>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</si>
  <si>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</si>
  <si>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</si>
  <si>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</si>
  <si>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</si>
  <si>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</si>
  <si>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</si>
  <si>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</si>
  <si>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</si>
  <si>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</si>
  <si>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</si>
  <si>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</si>
  <si>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</si>
  <si>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</si>
  <si>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</si>
  <si>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</si>
  <si>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</si>
  <si>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</si>
  <si>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</si>
  <si>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</si>
  <si>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</si>
  <si>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</si>
  <si>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</si>
  <si>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</si>
  <si>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</si>
  <si>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</si>
  <si>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</si>
  <si>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</si>
  <si>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</si>
  <si>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</si>
  <si>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</si>
  <si>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</si>
  <si>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</si>
  <si>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</si>
  <si>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</si>
  <si>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</si>
  <si>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</si>
  <si>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</si>
  <si>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</si>
  <si>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</si>
  <si>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</si>
  <si>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</si>
  <si>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</si>
  <si>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</si>
  <si>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</si>
  <si>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</si>
  <si>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</si>
  <si>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</si>
  <si>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</si>
  <si>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</si>
  <si>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</si>
  <si>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</si>
  <si>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</si>
  <si>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</si>
  <si>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</si>
  <si>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</si>
  <si>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</si>
  <si>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</si>
  <si>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</si>
  <si>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</si>
  <si>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</si>
  <si>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</si>
  <si>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</si>
  <si>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</si>
  <si>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</si>
  <si>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</si>
  <si>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</si>
  <si>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</si>
  <si>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</si>
  <si>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</si>
  <si>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</si>
  <si>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</si>
  <si>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</si>
  <si>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</si>
  <si>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</si>
  <si>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</si>
  <si>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</si>
  <si>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</si>
  <si>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</si>
  <si>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</si>
  <si>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</si>
  <si>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</si>
  <si>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</si>
  <si>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</si>
  <si>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</si>
  <si>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</si>
  <si>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</si>
  <si>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</si>
  <si>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</si>
  <si>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</si>
  <si>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</si>
  <si>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</si>
  <si>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</si>
  <si>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</si>
  <si>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</si>
  <si>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</si>
  <si>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</si>
  <si>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</si>
  <si>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</si>
  <si>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</si>
  <si>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</si>
  <si>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</si>
  <si>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</si>
  <si>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</si>
  <si>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</si>
  <si>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</si>
  <si>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</si>
  <si>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</si>
  <si>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</si>
  <si>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</si>
  <si>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</si>
  <si>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</si>
  <si>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</si>
  <si>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</si>
  <si>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</si>
  <si>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</si>
  <si>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</si>
  <si>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</si>
  <si>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</si>
  <si>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</si>
  <si>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</si>
  <si>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</si>
  <si>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</si>
  <si>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</si>
  <si>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</si>
  <si>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</si>
  <si>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</si>
  <si>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</si>
  <si>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</si>
  <si>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</si>
  <si>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</si>
  <si>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</si>
  <si>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</si>
  <si>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</si>
  <si>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</si>
  <si>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</si>
  <si>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</si>
  <si>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</si>
  <si>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</si>
  <si>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</si>
  <si>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</si>
  <si>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</si>
  <si>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</si>
  <si>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</si>
  <si>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</si>
  <si>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</si>
  <si>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</si>
  <si>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</si>
  <si>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</si>
  <si>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</si>
  <si>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</si>
  <si>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</si>
  <si>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</si>
  <si>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</si>
  <si>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</si>
  <si>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</si>
  <si>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</si>
  <si>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</si>
  <si>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</si>
  <si>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</si>
  <si>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</si>
  <si>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</si>
  <si>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</si>
  <si>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</si>
  <si>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</si>
  <si>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</si>
  <si>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</si>
  <si>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</si>
  <si>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</si>
  <si>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</si>
  <si>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</si>
  <si>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</si>
  <si>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</si>
  <si>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</si>
  <si>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</si>
  <si>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</si>
  <si>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</si>
  <si>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</si>
  <si>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</si>
  <si>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</si>
  <si>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</si>
  <si>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</si>
  <si>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</si>
  <si>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</si>
  <si>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</si>
  <si>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</si>
  <si>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</si>
  <si>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</si>
  <si>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</si>
  <si>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</si>
  <si>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</si>
  <si>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</si>
  <si>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</si>
  <si>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</si>
  <si>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</si>
  <si>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</si>
  <si>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</si>
  <si>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</si>
  <si>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</si>
  <si>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</si>
  <si>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</si>
  <si>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</si>
  <si>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</si>
  <si>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</si>
  <si>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</si>
  <si>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</si>
  <si>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</si>
  <si>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</si>
  <si>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</si>
  <si>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</si>
  <si>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</si>
  <si>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</si>
  <si>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</si>
  <si>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</si>
  <si>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</si>
  <si>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</si>
  <si>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</si>
  <si>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</si>
  <si>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</si>
  <si>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</si>
  <si>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</si>
  <si>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</si>
  <si>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</si>
  <si>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</si>
  <si>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</si>
  <si>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</si>
  <si>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</si>
  <si>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</si>
  <si>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</si>
  <si>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</si>
  <si>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</si>
  <si>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</si>
  <si>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</si>
  <si>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</si>
  <si>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</si>
  <si>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</si>
  <si>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</si>
  <si>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</si>
  <si>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</si>
  <si>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</si>
  <si>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</si>
  <si>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</si>
  <si>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</si>
  <si>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</si>
  <si>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</si>
  <si>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</si>
  <si>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</si>
  <si>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</si>
  <si>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</si>
  <si>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</si>
  <si>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</si>
  <si>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</si>
  <si>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</si>
  <si>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</si>
  <si>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</si>
  <si>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</si>
  <si>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</si>
  <si>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</si>
  <si>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</si>
  <si>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</si>
  <si>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</si>
  <si>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</si>
  <si>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</si>
  <si>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</si>
  <si>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</si>
  <si>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</si>
  <si>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</si>
  <si>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</si>
  <si>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</si>
  <si>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</si>
  <si>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</si>
  <si>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</si>
  <si>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</si>
  <si>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</si>
  <si>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</si>
  <si>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</si>
  <si>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</si>
  <si>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</si>
  <si>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</si>
  <si>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</si>
  <si>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</si>
  <si>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</si>
  <si>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</si>
  <si>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</si>
  <si>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</si>
  <si>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</si>
  <si>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</si>
  <si>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</si>
  <si>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</si>
  <si>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</si>
  <si>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</si>
  <si>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</si>
  <si>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</si>
  <si>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</si>
  <si>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</si>
  <si>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</si>
  <si>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</si>
  <si>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</si>
  <si>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</si>
  <si>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</si>
  <si>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</si>
  <si>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</si>
  <si>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</si>
  <si>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</si>
  <si>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</si>
  <si>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</si>
  <si>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</si>
  <si>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</si>
  <si>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</si>
  <si>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</si>
  <si>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</si>
  <si>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</si>
  <si>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</si>
  <si>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</si>
  <si>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</si>
  <si>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</si>
  <si>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</si>
  <si>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</si>
  <si>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</si>
  <si>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</si>
  <si>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</si>
  <si>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</si>
  <si>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</si>
  <si>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</si>
  <si>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</si>
  <si>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</si>
  <si>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</si>
  <si>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</si>
  <si>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</si>
  <si>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</si>
  <si>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</si>
  <si>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</si>
  <si>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</si>
  <si>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</si>
  <si>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</si>
  <si>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</si>
  <si>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</si>
  <si>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</si>
  <si>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</si>
  <si>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</si>
  <si>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</si>
  <si>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</si>
  <si>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</si>
  <si>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</si>
  <si>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</si>
  <si>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</si>
  <si>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</si>
  <si>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</si>
  <si>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</si>
  <si>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</si>
  <si>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</si>
  <si>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</si>
  <si>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</si>
  <si>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</si>
  <si>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</si>
  <si>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</si>
  <si>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</si>
  <si>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</si>
  <si>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</si>
  <si>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</si>
  <si>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</si>
  <si>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</si>
  <si>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</si>
  <si>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</si>
  <si>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</si>
  <si>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</si>
  <si>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</si>
  <si>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</si>
  <si>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</si>
  <si>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</si>
  <si>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</si>
  <si>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</si>
  <si>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</si>
  <si>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</si>
  <si>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</si>
  <si>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</si>
  <si>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</si>
  <si>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</si>
  <si>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</si>
  <si>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</si>
  <si>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</si>
  <si>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</si>
  <si>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</si>
  <si>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</si>
  <si>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</si>
  <si>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</si>
  <si>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</si>
  <si>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</si>
  <si>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</si>
  <si>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</si>
  <si>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</si>
  <si>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</si>
  <si>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</si>
  <si>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</si>
  <si>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</si>
  <si>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</si>
  <si>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</si>
  <si>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</si>
  <si>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</si>
  <si>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</si>
  <si>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</si>
  <si>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</si>
  <si>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</si>
  <si>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</si>
  <si>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</si>
  <si>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</si>
  <si>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</si>
  <si>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</si>
  <si>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</si>
  <si>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</si>
  <si>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</si>
  <si>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</si>
  <si>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</si>
  <si>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</si>
  <si>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</si>
  <si>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</si>
  <si>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</si>
  <si>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</si>
  <si>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</si>
  <si>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</si>
  <si>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</si>
  <si>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</si>
  <si>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</si>
  <si>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</si>
  <si>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</si>
  <si>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</si>
  <si>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</si>
  <si>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</si>
  <si>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</si>
  <si>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</si>
  <si>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</si>
  <si>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</si>
  <si>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</si>
  <si>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</si>
  <si>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</si>
  <si>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</si>
  <si>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</si>
  <si>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</si>
  <si>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</si>
  <si>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</si>
  <si>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</si>
  <si>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</si>
  <si>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</si>
  <si>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</si>
  <si>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</si>
  <si>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</si>
  <si>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</si>
  <si>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</si>
  <si>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</si>
  <si>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</si>
  <si>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</si>
  <si>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</si>
  <si>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</si>
  <si>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</si>
  <si>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</si>
  <si>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</si>
  <si>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</si>
  <si>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</si>
  <si>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</si>
  <si>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</si>
  <si>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</si>
  <si>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</si>
  <si>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</si>
  <si>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</si>
  <si>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</si>
  <si>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</si>
  <si>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</si>
  <si>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</si>
  <si>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</si>
  <si>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</si>
  <si>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</si>
  <si>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</si>
  <si>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</si>
  <si>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</si>
  <si>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</si>
  <si>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</si>
  <si>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</si>
  <si>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</si>
  <si>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</si>
  <si>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</si>
  <si>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</si>
  <si>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</si>
  <si>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</si>
  <si>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</si>
  <si>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</si>
  <si>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</si>
  <si>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</si>
  <si>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</si>
  <si>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</si>
  <si>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</si>
  <si>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</si>
  <si>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</si>
  <si>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</si>
  <si>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</si>
  <si>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</si>
  <si>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</si>
  <si>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</si>
  <si>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</si>
  <si>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</si>
  <si>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</si>
  <si>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</si>
  <si>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</si>
  <si>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</si>
  <si>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</si>
  <si>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</si>
  <si>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</si>
  <si>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</si>
  <si>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</si>
  <si>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</si>
  <si>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</si>
  <si>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</si>
  <si>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</si>
  <si>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</si>
  <si>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</si>
  <si>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</si>
  <si>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</si>
  <si>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</si>
  <si>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</si>
  <si>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</si>
  <si>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</si>
  <si>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</si>
  <si>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</si>
  <si>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</si>
  <si>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</si>
  <si>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</si>
  <si>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</si>
  <si>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</si>
  <si>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</si>
  <si>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</si>
  <si>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</si>
  <si>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</si>
  <si>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</si>
  <si>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</si>
  <si>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</si>
  <si>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</si>
  <si>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</si>
  <si>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</si>
  <si>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</si>
  <si>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</si>
  <si>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</si>
  <si>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</si>
  <si>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</si>
  <si>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</si>
  <si>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</si>
  <si>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</si>
  <si>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</si>
  <si>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</si>
  <si>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</si>
  <si>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</si>
  <si>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</si>
  <si>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</si>
  <si>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</si>
  <si>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</si>
  <si>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</si>
  <si>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</si>
  <si>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</si>
  <si>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</si>
  <si>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</si>
  <si>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</si>
  <si>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</si>
  <si>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</si>
  <si>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</si>
  <si>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</si>
  <si>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</si>
  <si>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</si>
  <si>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</si>
  <si>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</si>
  <si>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</si>
  <si>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</si>
  <si>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</si>
  <si>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</si>
  <si>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</si>
  <si>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</si>
  <si>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</si>
  <si>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</si>
  <si>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</si>
  <si>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</si>
  <si>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</si>
  <si>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</si>
  <si>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</si>
  <si>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</si>
  <si>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</si>
  <si>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</si>
  <si>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</si>
  <si>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</si>
  <si>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</si>
  <si>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</si>
  <si>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</si>
  <si>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</si>
  <si>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</si>
  <si>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</si>
  <si>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</si>
  <si>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</si>
  <si>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</si>
  <si>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</si>
  <si>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</si>
  <si>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</si>
  <si>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</si>
  <si>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</si>
  <si>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</si>
  <si>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</si>
  <si>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</si>
  <si>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</si>
  <si>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</si>
  <si>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</si>
  <si>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</si>
  <si>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</si>
  <si>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</si>
  <si>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</si>
  <si>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</si>
  <si>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</si>
  <si>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</si>
  <si>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</si>
  <si>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</si>
  <si>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</si>
  <si>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</si>
  <si>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</si>
  <si>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</si>
  <si>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</si>
  <si>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</si>
  <si>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</si>
  <si>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</si>
  <si>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</si>
  <si>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</si>
  <si>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</si>
  <si>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</si>
  <si>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</si>
  <si>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</si>
  <si>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</si>
  <si>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</si>
  <si>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</si>
  <si>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</si>
  <si>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</si>
  <si>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</si>
  <si>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</si>
  <si>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</si>
  <si>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</si>
  <si>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</si>
  <si>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</si>
  <si>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</si>
  <si>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</si>
  <si>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</si>
  <si>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</si>
  <si>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</si>
  <si>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</si>
  <si>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</si>
  <si>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</si>
  <si>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</si>
  <si>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</si>
  <si>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</si>
  <si>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</si>
  <si>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</si>
  <si>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</si>
  <si>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</si>
  <si>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</si>
  <si>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</si>
  <si>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</si>
  <si>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</si>
  <si>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</si>
  <si>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</si>
  <si>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</si>
  <si>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</si>
  <si>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</si>
  <si>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</si>
  <si>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</si>
  <si>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</si>
  <si>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</si>
  <si>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</si>
  <si>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</si>
  <si>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</si>
  <si>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</si>
  <si>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</si>
  <si>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</si>
  <si>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</si>
  <si>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</si>
  <si>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</si>
  <si>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</si>
  <si>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</si>
  <si>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</si>
  <si>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</si>
  <si>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</si>
  <si>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</si>
  <si>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</si>
  <si>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</si>
  <si>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</si>
  <si>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</si>
  <si>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</si>
  <si>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</si>
  <si>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</si>
  <si>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</si>
  <si>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</si>
  <si>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</si>
  <si>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</si>
  <si>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</si>
  <si>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</si>
  <si>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</si>
  <si>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</si>
  <si>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</si>
  <si>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</si>
  <si>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</si>
  <si>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</si>
  <si>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</si>
  <si>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</si>
  <si>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</si>
  <si>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</si>
  <si>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</si>
  <si>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</si>
  <si>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</si>
  <si>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</si>
  <si>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</si>
  <si>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</si>
  <si>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</si>
  <si>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</si>
  <si>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</si>
  <si>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</si>
  <si>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</si>
  <si>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</si>
  <si>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</si>
  <si>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</si>
  <si>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</si>
  <si>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</si>
  <si>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</si>
  <si>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</si>
  <si>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</si>
  <si>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</si>
  <si>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</si>
  <si>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</si>
  <si>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</si>
  <si>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</si>
  <si>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</si>
  <si>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</si>
  <si>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</si>
  <si>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</si>
  <si>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</si>
  <si>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</si>
  <si>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</si>
  <si>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</si>
  <si>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</si>
  <si>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</si>
  <si>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</si>
  <si>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</si>
  <si>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</si>
  <si>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</si>
  <si>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</si>
  <si>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</si>
  <si>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</si>
  <si>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</si>
  <si>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</si>
  <si>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</si>
  <si>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</si>
  <si>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</si>
  <si>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</si>
  <si>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</si>
  <si>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</si>
  <si>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</si>
  <si>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</si>
  <si>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</si>
  <si>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</si>
  <si>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</si>
  <si>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</si>
  <si>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</si>
  <si>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</si>
  <si>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</si>
  <si>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</si>
  <si>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</si>
  <si>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</si>
  <si>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</si>
  <si>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</si>
  <si>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</si>
  <si>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</si>
  <si>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</si>
  <si>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</si>
  <si>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</si>
  <si>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</si>
  <si>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</si>
  <si>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</si>
  <si>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</si>
  <si>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</si>
  <si>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</si>
  <si>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</si>
  <si>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</si>
  <si>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</si>
  <si>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</si>
  <si>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</si>
  <si>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</si>
  <si>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</si>
  <si>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</si>
  <si>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</si>
  <si>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</si>
  <si>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</si>
  <si>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</si>
  <si>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</si>
  <si>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</si>
  <si>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</si>
  <si>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</si>
  <si>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</si>
  <si>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</si>
  <si>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</si>
  <si>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</si>
  <si>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</si>
  <si>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</si>
  <si>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</si>
  <si>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</si>
  <si>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</si>
  <si>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</si>
  <si>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</si>
  <si>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</si>
  <si>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</si>
  <si>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</si>
  <si>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</si>
  <si>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</si>
  <si>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</si>
  <si>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</si>
  <si>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</si>
  <si>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</si>
  <si>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</si>
  <si>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</si>
  <si>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</si>
  <si>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</si>
  <si>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</si>
  <si>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</si>
  <si>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</si>
  <si>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</si>
  <si>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</si>
  <si>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</si>
  <si>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</si>
  <si>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</si>
  <si>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</si>
  <si>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</si>
  <si>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</si>
  <si>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</si>
  <si>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</si>
  <si>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</si>
  <si>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</si>
  <si>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</si>
  <si>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</si>
  <si>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</si>
  <si>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</si>
  <si>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</si>
  <si>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</si>
  <si>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</si>
  <si>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</si>
  <si>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</si>
  <si>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</si>
  <si>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</si>
  <si>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</si>
  <si>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</si>
  <si>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</si>
  <si>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</si>
  <si>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</si>
  <si>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</si>
  <si>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</si>
  <si>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</si>
  <si>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</si>
  <si>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</si>
  <si>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</si>
  <si>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</si>
  <si>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</si>
  <si>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</si>
  <si>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</si>
  <si>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</si>
  <si>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</si>
  <si>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</si>
  <si>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</si>
  <si>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</si>
  <si>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</si>
  <si>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</si>
  <si>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</si>
  <si>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</si>
  <si>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</si>
  <si>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</si>
  <si>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</si>
  <si>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</si>
  <si>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</si>
  <si>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</si>
  <si>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</si>
  <si>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</si>
  <si>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</si>
  <si>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</si>
  <si>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</si>
  <si>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</si>
  <si>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</si>
  <si>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</si>
  <si>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</si>
  <si>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</si>
  <si>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</si>
  <si>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</si>
  <si>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</si>
  <si>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</si>
  <si>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</si>
  <si>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</si>
  <si>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</si>
  <si>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</si>
  <si>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</si>
  <si>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</si>
  <si>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</si>
  <si>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</si>
  <si>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</si>
  <si>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</si>
  <si>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</si>
  <si>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</si>
  <si>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</si>
  <si>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</si>
  <si>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</si>
  <si>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</si>
  <si>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</si>
  <si>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</si>
  <si>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</si>
  <si>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</si>
  <si>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</si>
  <si>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</si>
  <si>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</si>
  <si>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</si>
  <si>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</si>
  <si>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</si>
  <si>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</si>
  <si>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</si>
  <si>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</si>
  <si>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</si>
  <si>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</si>
  <si>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</si>
  <si>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</si>
  <si>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</si>
  <si>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</si>
  <si>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</si>
  <si>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</si>
  <si>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</si>
  <si>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</si>
  <si>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</si>
  <si>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</si>
  <si>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</si>
  <si>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</si>
  <si>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</si>
  <si>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</si>
  <si>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</si>
  <si>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</si>
  <si>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</si>
  <si>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</si>
  <si>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</si>
  <si>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</si>
  <si>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</si>
  <si>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</si>
  <si>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</si>
  <si>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</si>
  <si>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</si>
  <si>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</si>
  <si>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</si>
  <si>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</si>
  <si>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</si>
  <si>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</si>
  <si>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</si>
  <si>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</si>
  <si>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</si>
  <si>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</si>
  <si>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</si>
  <si>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</si>
  <si>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</si>
  <si>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</si>
  <si>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</si>
  <si>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</si>
  <si>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</si>
  <si>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</si>
  <si>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</si>
  <si>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</si>
  <si>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</si>
  <si>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</si>
  <si>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</si>
  <si>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</si>
  <si>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</si>
  <si>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</si>
  <si>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</si>
  <si>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</si>
  <si>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</si>
  <si>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</si>
  <si>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</si>
  <si>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</si>
  <si>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</si>
  <si>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</si>
  <si>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</si>
  <si>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</si>
  <si>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</si>
  <si>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</si>
  <si>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</si>
  <si>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</si>
  <si>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</si>
  <si>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</si>
  <si>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</si>
  <si>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</si>
  <si>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</si>
  <si>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</si>
  <si>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</si>
  <si>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</si>
  <si>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</si>
  <si>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</si>
  <si>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</si>
  <si>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</si>
  <si>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</si>
  <si>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</si>
  <si>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</si>
  <si>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</si>
  <si>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</si>
  <si>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</si>
  <si>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</si>
  <si>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</si>
  <si>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</si>
  <si>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</si>
  <si>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</si>
  <si>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</si>
  <si>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</si>
  <si>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</si>
  <si>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</si>
  <si>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</si>
  <si>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</si>
  <si>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</si>
  <si>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</si>
  <si>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</si>
  <si>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</si>
  <si>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</si>
  <si>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</si>
  <si>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</si>
  <si>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</si>
  <si>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</si>
  <si>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</si>
  <si>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</si>
  <si>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</si>
  <si>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</si>
  <si>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</si>
  <si>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</si>
  <si>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</si>
  <si>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</si>
  <si>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</si>
  <si>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</si>
  <si>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</si>
  <si>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</si>
  <si>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</si>
  <si>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</si>
  <si>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</si>
  <si>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</si>
  <si>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</si>
  <si>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</si>
  <si>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</si>
  <si>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</si>
  <si>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</si>
  <si>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</si>
  <si>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</si>
  <si>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</si>
  <si>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</si>
  <si>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</si>
  <si>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</si>
  <si>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</si>
  <si>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</si>
  <si>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</si>
  <si>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</si>
  <si>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</si>
  <si>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</si>
  <si>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</si>
  <si>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</si>
  <si>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</si>
  <si>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</si>
  <si>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</si>
  <si>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</si>
  <si>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</si>
  <si>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</si>
  <si>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</si>
  <si>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</si>
  <si>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</si>
  <si>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</si>
  <si>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</si>
  <si>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</si>
  <si>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</si>
  <si>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</si>
  <si>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</si>
  <si>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</si>
  <si>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</si>
  <si>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</si>
  <si>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</si>
  <si>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</si>
  <si>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</si>
  <si>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</si>
  <si>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</si>
  <si>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</si>
  <si>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</si>
  <si>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</si>
  <si>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</si>
  <si>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</si>
  <si>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</si>
  <si>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</si>
  <si>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</si>
  <si>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</si>
  <si>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</si>
  <si>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</si>
  <si>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</si>
  <si>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</si>
  <si>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</si>
  <si>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</si>
  <si>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</si>
  <si>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</si>
  <si>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</si>
  <si>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</si>
  <si>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</si>
  <si>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</si>
  <si>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</si>
  <si>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</si>
  <si>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</si>
  <si>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</si>
  <si>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</si>
  <si>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</si>
  <si>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</si>
  <si>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</si>
  <si>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</si>
  <si>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</si>
  <si>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</si>
  <si>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</si>
  <si>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</si>
  <si>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</si>
  <si>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</si>
  <si>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</si>
  <si>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</si>
  <si>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</si>
  <si>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</si>
  <si>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</si>
  <si>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</si>
  <si>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</si>
  <si>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</si>
  <si>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</si>
  <si>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</si>
  <si>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</si>
  <si>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</si>
  <si>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</si>
  <si>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</si>
  <si>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</si>
  <si>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</si>
  <si>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</si>
  <si>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</si>
  <si>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</si>
  <si>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</si>
  <si>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</si>
  <si>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</si>
  <si>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</si>
  <si>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</si>
  <si>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</si>
  <si>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</si>
  <si>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</si>
  <si>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</si>
  <si>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</si>
  <si>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</si>
  <si>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</si>
  <si>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</si>
  <si>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</si>
  <si>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</si>
  <si>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</si>
  <si>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</si>
  <si>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</si>
  <si>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</si>
  <si>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</si>
  <si>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</si>
  <si>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</si>
  <si>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</si>
  <si>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</si>
  <si>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</si>
  <si>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</si>
  <si>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</si>
  <si>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</si>
  <si>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</si>
  <si>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</si>
  <si>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</si>
  <si>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</si>
  <si>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</si>
  <si>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</si>
  <si>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</si>
  <si>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</si>
  <si>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</si>
  <si>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</si>
  <si>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</si>
  <si>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</si>
  <si>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</si>
  <si>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</si>
  <si>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</si>
  <si>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</si>
  <si>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</si>
  <si>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</si>
  <si>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</si>
  <si>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</si>
  <si>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</si>
  <si>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</si>
  <si>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</si>
  <si>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</si>
  <si>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</si>
  <si>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</si>
  <si>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</si>
  <si>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</si>
  <si>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</si>
  <si>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</si>
  <si>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</si>
  <si>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</si>
  <si>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</si>
  <si>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</si>
  <si>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</si>
  <si>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</si>
  <si>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</si>
  <si>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</si>
  <si>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</si>
  <si>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</si>
  <si>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</si>
  <si>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</si>
  <si>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</si>
  <si>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</si>
  <si>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</si>
  <si>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</si>
  <si>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</si>
  <si>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</si>
  <si>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</si>
  <si>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</si>
  <si>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</si>
  <si>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</si>
  <si>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</si>
  <si>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</si>
  <si>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</si>
  <si>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</si>
  <si>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</si>
  <si>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</si>
  <si>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</si>
  <si>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</si>
  <si>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</si>
  <si>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</si>
  <si>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</si>
  <si>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</si>
  <si>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</si>
  <si>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</si>
  <si>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</si>
  <si>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</si>
  <si>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</si>
  <si>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</si>
  <si>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</si>
  <si>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</si>
  <si>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</si>
  <si>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</si>
  <si>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</si>
  <si>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</si>
  <si>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</si>
  <si>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</si>
  <si>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</si>
  <si>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</si>
  <si>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</si>
  <si>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</si>
  <si>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</si>
  <si>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</si>
  <si>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</si>
  <si>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</si>
  <si>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</si>
  <si>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</si>
  <si>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</si>
  <si>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</si>
  <si>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</si>
  <si>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</si>
  <si>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</si>
  <si>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</si>
  <si>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</si>
  <si>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</si>
  <si>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</si>
  <si>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</si>
  <si>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</si>
  <si>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</si>
  <si>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</si>
  <si>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</si>
  <si>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</si>
  <si>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</si>
  <si>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</si>
  <si>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</si>
  <si>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</si>
  <si>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</si>
  <si>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</si>
  <si>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</si>
  <si>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</si>
  <si>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</si>
  <si>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</si>
  <si>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</si>
  <si>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</si>
  <si>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</si>
  <si>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</si>
  <si>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</si>
  <si>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</si>
  <si>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</si>
  <si>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</si>
  <si>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</si>
  <si>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</si>
  <si>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</si>
  <si>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</si>
  <si>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</si>
  <si>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</si>
  <si>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</si>
  <si>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</si>
  <si>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</si>
  <si>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</si>
  <si>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</si>
  <si>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</si>
  <si>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</si>
  <si>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</si>
  <si>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</si>
  <si>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</si>
  <si>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</si>
  <si>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</si>
  <si>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</si>
  <si>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</si>
  <si>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</si>
  <si>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</si>
  <si>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</si>
  <si>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</si>
  <si>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</si>
  <si>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</si>
  <si>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</si>
  <si>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</si>
  <si>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</si>
  <si>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</si>
  <si>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</si>
  <si>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</si>
  <si>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</si>
  <si>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</si>
  <si>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</si>
  <si>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</si>
  <si>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</si>
  <si>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</si>
  <si>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</si>
  <si>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</si>
  <si>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</si>
  <si>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</si>
  <si>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</si>
  <si>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</si>
  <si>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</si>
  <si>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</si>
  <si>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</si>
  <si>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</si>
  <si>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</si>
  <si>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</si>
  <si>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</si>
  <si>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</si>
  <si>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</si>
  <si>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</si>
  <si>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</si>
  <si>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</si>
  <si>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</si>
  <si>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</si>
  <si>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</si>
  <si>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</si>
  <si>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</si>
  <si>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</si>
  <si>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</si>
  <si>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</si>
  <si>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</si>
  <si>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</si>
  <si>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</si>
  <si>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</si>
  <si>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</si>
  <si>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</si>
  <si>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</si>
  <si>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</si>
  <si>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</si>
  <si>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</si>
  <si>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</si>
  <si>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</si>
  <si>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</si>
  <si>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</si>
  <si>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</si>
  <si>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</si>
  <si>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</si>
  <si>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</si>
  <si>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</si>
  <si>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</si>
  <si>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</si>
  <si>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</si>
  <si>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</si>
  <si>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</si>
  <si>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</si>
  <si>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</si>
  <si>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</si>
  <si>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</si>
  <si>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</si>
  <si>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</si>
  <si>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</si>
  <si>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</si>
  <si>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</si>
  <si>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</si>
  <si>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</si>
  <si>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</si>
  <si>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</si>
  <si>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</si>
  <si>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</si>
  <si>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</si>
  <si>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</si>
  <si>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</si>
  <si>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</si>
  <si>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</si>
  <si>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</si>
  <si>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</si>
  <si>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</si>
  <si>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</si>
  <si>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</si>
  <si>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</si>
  <si>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</si>
  <si>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</si>
  <si>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</si>
  <si>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</si>
  <si>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</si>
  <si>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</si>
  <si>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</si>
  <si>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</si>
  <si>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</si>
  <si>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</si>
  <si>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</si>
  <si>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</si>
  <si>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</si>
  <si>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</si>
  <si>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</si>
  <si>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</si>
  <si>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</si>
  <si>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</si>
  <si>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</si>
  <si>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</si>
  <si>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</si>
  <si>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</si>
  <si>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</si>
  <si>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</si>
  <si>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</si>
  <si>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</si>
  <si>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</si>
  <si>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</si>
  <si>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</si>
  <si>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</si>
  <si>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</si>
  <si>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</si>
  <si>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</si>
  <si>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</si>
  <si>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</si>
  <si>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</si>
  <si>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</si>
  <si>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</si>
  <si>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</si>
  <si>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</si>
  <si>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</si>
  <si>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</si>
  <si>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</si>
  <si>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</si>
  <si>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</si>
  <si>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</si>
  <si>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</si>
  <si>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</si>
  <si>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</si>
  <si>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</si>
  <si>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</si>
  <si>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</si>
  <si>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</si>
  <si>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</si>
  <si>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</si>
  <si>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</si>
  <si>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</si>
  <si>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</si>
  <si>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</si>
  <si>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</si>
  <si>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</si>
  <si>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</si>
  <si>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</si>
  <si>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</si>
  <si>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</si>
  <si>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</si>
  <si>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</si>
  <si>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</si>
  <si>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</si>
  <si>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</si>
  <si>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</si>
  <si>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</si>
  <si>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</si>
  <si>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</si>
  <si>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</si>
  <si>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</si>
  <si>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</si>
  <si>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</si>
  <si>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</si>
  <si>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</si>
  <si>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</si>
  <si>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</si>
  <si>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</si>
  <si>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</si>
  <si>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</si>
  <si>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</si>
  <si>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</si>
  <si>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</si>
  <si>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</si>
  <si>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</si>
  <si>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</si>
  <si>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</si>
  <si>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</si>
  <si>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</si>
  <si>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</si>
  <si>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</si>
  <si>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</si>
  <si>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</si>
  <si>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</si>
  <si>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</si>
  <si>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</si>
  <si>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</si>
  <si>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</si>
  <si>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</si>
  <si>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</si>
  <si>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</si>
  <si>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</si>
  <si>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</si>
  <si>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</si>
  <si>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</si>
  <si>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</si>
  <si>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</si>
  <si>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</si>
  <si>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</si>
  <si>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</si>
  <si>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</si>
  <si>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</si>
  <si>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</si>
  <si>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</si>
  <si>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</si>
  <si>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</si>
  <si>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</si>
  <si>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</si>
  <si>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</si>
  <si>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</si>
  <si>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</si>
  <si>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</si>
  <si>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</si>
  <si>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</si>
  <si>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</si>
  <si>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</si>
  <si>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</si>
  <si>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</si>
  <si>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</si>
  <si>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</si>
  <si>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</si>
  <si>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</si>
  <si>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</si>
  <si>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</si>
  <si>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</si>
  <si>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</si>
  <si>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</si>
  <si>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</si>
  <si>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</si>
  <si>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</si>
  <si>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</si>
  <si>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</si>
  <si>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</si>
  <si>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</si>
  <si>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</si>
  <si>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</si>
  <si>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</si>
  <si>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</si>
  <si>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</si>
  <si>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</si>
  <si>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</si>
  <si>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</si>
  <si>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</si>
  <si>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</si>
  <si>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</si>
  <si>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</si>
  <si>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</si>
  <si>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</si>
  <si>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</si>
  <si>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</si>
  <si>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</si>
  <si>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</si>
  <si>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</si>
  <si>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</si>
  <si>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</si>
  <si>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</si>
  <si>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</si>
  <si>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</si>
  <si>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</si>
  <si>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</si>
  <si>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</si>
  <si>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</si>
  <si>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</si>
  <si>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</si>
  <si>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</si>
  <si>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</si>
  <si>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</si>
  <si>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</si>
  <si>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</si>
  <si>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</si>
  <si>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</si>
  <si>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</si>
  <si>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</si>
  <si>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</si>
  <si>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</si>
  <si>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</si>
  <si>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</si>
  <si>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</si>
  <si>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</si>
  <si>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</si>
  <si>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</si>
  <si>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</si>
  <si>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</si>
  <si>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</si>
  <si>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</si>
  <si>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</si>
  <si>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</si>
  <si>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</si>
  <si>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</si>
  <si>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</si>
  <si>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</si>
  <si>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</si>
  <si>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</si>
  <si>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</si>
  <si>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</si>
  <si>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</si>
  <si>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</si>
  <si>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</si>
  <si>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</si>
  <si>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</si>
  <si>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</si>
  <si>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</si>
  <si>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</si>
  <si>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</si>
  <si>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</si>
  <si>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</si>
  <si>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</si>
  <si>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</si>
  <si>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</si>
  <si>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</si>
  <si>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</si>
  <si>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</si>
  <si>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</si>
  <si>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</si>
  <si>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</si>
  <si>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</si>
  <si>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</si>
  <si>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</si>
  <si>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</si>
  <si>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</si>
  <si>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</si>
  <si>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</si>
  <si>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</si>
  <si>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</si>
  <si>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</si>
  <si>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</si>
  <si>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</si>
  <si>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</si>
  <si>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</si>
  <si>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</si>
  <si>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</si>
  <si>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</si>
  <si>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</si>
  <si>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</si>
  <si>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</si>
  <si>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</si>
  <si>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</si>
  <si>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</si>
  <si>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</si>
  <si>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</si>
  <si>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</si>
  <si>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</si>
  <si>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</si>
  <si>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</si>
  <si>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</si>
  <si>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</si>
  <si>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</si>
  <si>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</si>
  <si>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</si>
  <si>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</si>
  <si>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</si>
  <si>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</si>
  <si>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</si>
  <si>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</si>
  <si>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</si>
  <si>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</si>
  <si>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</si>
  <si>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</si>
  <si>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</si>
  <si>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</si>
  <si>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</si>
  <si>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</si>
  <si>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</si>
  <si>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</si>
  <si>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</si>
  <si>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</si>
  <si>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</si>
  <si>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</si>
  <si>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</si>
  <si>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</si>
  <si>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</si>
  <si>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</si>
  <si>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</si>
  <si>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</si>
  <si>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</si>
  <si>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</si>
  <si>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</si>
  <si>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</si>
  <si>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</si>
  <si>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</si>
  <si>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</si>
  <si>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</si>
  <si>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</si>
  <si>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</si>
  <si>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</si>
  <si>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</si>
  <si>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</si>
  <si>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</si>
  <si>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</si>
  <si>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</si>
  <si>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</si>
  <si>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</si>
  <si>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</si>
  <si>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</si>
  <si>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</si>
  <si>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</si>
  <si>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</si>
  <si>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</si>
  <si>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</si>
  <si>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</si>
  <si>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</si>
  <si>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</si>
  <si>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</si>
  <si>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</si>
  <si>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</si>
  <si>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</si>
  <si>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</si>
  <si>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</si>
  <si>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</si>
  <si>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</si>
  <si>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</si>
  <si>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</si>
  <si>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</si>
  <si>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</si>
  <si>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</si>
  <si>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</si>
  <si>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</si>
  <si>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</si>
  <si>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</si>
  <si>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</si>
  <si>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</si>
  <si>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</si>
  <si>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</si>
  <si>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</si>
  <si>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</si>
  <si>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</si>
  <si>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</si>
  <si>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</si>
  <si>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</si>
  <si>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</si>
  <si>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</si>
  <si>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</si>
  <si>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</si>
  <si>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</si>
  <si>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</si>
  <si>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</si>
  <si>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</si>
  <si>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</si>
  <si>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</si>
  <si>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</si>
  <si>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</si>
  <si>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</si>
  <si>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</si>
  <si>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</si>
  <si>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</si>
  <si>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</si>
  <si>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</si>
  <si>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</si>
  <si>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</si>
  <si>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</si>
  <si>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</si>
  <si>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</si>
  <si>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</si>
  <si>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</si>
  <si>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</si>
  <si>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</si>
  <si>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</si>
  <si>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</si>
  <si>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</si>
  <si>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</si>
  <si>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</si>
  <si>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</si>
  <si>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</si>
  <si>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</si>
  <si>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</si>
  <si>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</si>
  <si>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</si>
  <si>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</si>
  <si>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</si>
  <si>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</si>
  <si>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</si>
  <si>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</si>
  <si>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</si>
  <si>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</si>
  <si>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</si>
  <si>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</si>
  <si>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</si>
  <si>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</si>
  <si>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</si>
  <si>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</si>
  <si>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</si>
  <si>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</si>
  <si>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</si>
  <si>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</si>
  <si>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</si>
  <si>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</si>
  <si>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</si>
  <si>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</si>
  <si>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</si>
  <si>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</si>
  <si>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</si>
  <si>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</si>
  <si>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</si>
  <si>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</si>
  <si>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</si>
  <si>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</si>
  <si>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</si>
  <si>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</si>
  <si>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</si>
  <si>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</si>
  <si>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</si>
  <si>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</si>
  <si>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</si>
  <si>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</si>
  <si>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</si>
  <si>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</si>
  <si>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</si>
  <si>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</si>
  <si>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</si>
  <si>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</si>
  <si>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</si>
  <si>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</si>
  <si>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</si>
  <si>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</si>
  <si>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</si>
  <si>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</si>
  <si>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</si>
  <si>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</si>
  <si>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</si>
  <si>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</si>
  <si>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</si>
  <si>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</si>
  <si>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</si>
  <si>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</si>
  <si>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</si>
  <si>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</si>
  <si>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</si>
  <si>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</si>
  <si>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</si>
  <si>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</si>
  <si>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</si>
  <si>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</si>
  <si>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</si>
  <si>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</si>
  <si>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</si>
  <si>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</si>
  <si>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</si>
  <si>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</si>
  <si>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</si>
  <si>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</si>
  <si>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</si>
  <si>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</si>
  <si>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</si>
  <si>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</si>
  <si>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</si>
  <si>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</si>
  <si>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</si>
  <si>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</si>
  <si>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</si>
  <si>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</si>
  <si>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</si>
  <si>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</si>
  <si>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</si>
  <si>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</si>
  <si>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</si>
  <si>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</si>
  <si>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</si>
  <si>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</si>
  <si>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</si>
  <si>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</si>
  <si>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</si>
  <si>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</si>
  <si>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</si>
  <si>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</si>
  <si>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</si>
  <si>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</si>
  <si>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</si>
  <si>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</si>
  <si>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</si>
  <si>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</si>
  <si>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</si>
  <si>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</si>
  <si>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</si>
  <si>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</si>
  <si>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</si>
  <si>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</si>
  <si>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</si>
  <si>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</si>
  <si>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</si>
  <si>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</si>
  <si>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</si>
  <si>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</si>
  <si>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</si>
  <si>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</si>
  <si>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</si>
  <si>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</si>
  <si>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</si>
  <si>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</si>
  <si>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</si>
  <si>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</si>
  <si>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</si>
  <si>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</si>
  <si>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</si>
  <si>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</si>
  <si>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</si>
  <si>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</si>
  <si>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</si>
  <si>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</si>
  <si>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</si>
  <si>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</si>
  <si>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</si>
  <si>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</si>
  <si>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</si>
  <si>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</si>
  <si>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</si>
  <si>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</si>
  <si>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</si>
  <si>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</si>
  <si>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</si>
  <si>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</si>
  <si>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</si>
  <si>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</si>
  <si>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</si>
  <si>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</si>
  <si>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</si>
  <si>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</si>
  <si>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</si>
  <si>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</si>
  <si>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</si>
  <si>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</si>
  <si>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</si>
  <si>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</si>
  <si>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</si>
  <si>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</si>
  <si>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</si>
  <si>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</si>
  <si>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</si>
  <si>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</si>
  <si>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</si>
  <si>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</si>
  <si>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</si>
  <si>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</si>
  <si>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</si>
  <si>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</si>
  <si>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</si>
  <si>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</si>
  <si>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</si>
  <si>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</si>
  <si>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</si>
  <si>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</si>
  <si>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</si>
  <si>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</si>
  <si>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</si>
  <si>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</si>
  <si>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</si>
  <si>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</si>
  <si>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</si>
  <si>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</si>
  <si>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</si>
  <si>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</si>
  <si>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</si>
  <si>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</si>
  <si>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</si>
  <si>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</si>
  <si>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</si>
  <si>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</si>
  <si>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</si>
  <si>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</si>
  <si>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</si>
  <si>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</si>
  <si>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</si>
  <si>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</si>
  <si>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</si>
  <si>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</si>
  <si>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</si>
  <si>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</si>
  <si>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</si>
  <si>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</si>
  <si>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</si>
  <si>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</si>
  <si>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</si>
  <si>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</si>
  <si>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</si>
  <si>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</si>
  <si>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</si>
  <si>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</si>
  <si>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</si>
  <si>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</si>
  <si>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</si>
  <si>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</si>
  <si>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</si>
  <si>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</si>
  <si>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</si>
  <si>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</si>
  <si>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</si>
  <si>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</si>
  <si>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</si>
  <si>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</si>
  <si>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</si>
  <si>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</si>
  <si>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</si>
  <si>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</si>
  <si>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</si>
  <si>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</si>
  <si>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</si>
  <si>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</si>
  <si>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</si>
  <si>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</si>
  <si>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</si>
  <si>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</si>
  <si>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</si>
  <si>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</si>
  <si>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</si>
  <si>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</si>
  <si>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</si>
  <si>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</si>
  <si>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</si>
  <si>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</si>
  <si>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</si>
  <si>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</si>
  <si>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</si>
  <si>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</si>
  <si>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</si>
  <si>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</si>
  <si>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</si>
  <si>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</si>
  <si>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</si>
  <si>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</si>
  <si>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</si>
  <si>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</si>
  <si>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</si>
  <si>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</si>
  <si>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</si>
  <si>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</si>
  <si>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</si>
  <si>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</si>
  <si>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</si>
  <si>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</si>
  <si>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</si>
  <si>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</si>
  <si>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</si>
  <si>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</si>
  <si>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</si>
  <si>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</si>
  <si>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</si>
  <si>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</si>
  <si>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</si>
  <si>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</si>
  <si>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</si>
  <si>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</si>
  <si>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</si>
  <si>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</si>
  <si>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</si>
  <si>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</si>
  <si>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</si>
  <si>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</si>
  <si>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</si>
  <si>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</si>
  <si>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</si>
  <si>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</si>
  <si>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</si>
  <si>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</si>
  <si>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</si>
  <si>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</si>
  <si>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</si>
  <si>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</si>
  <si>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</si>
  <si>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</si>
  <si>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</si>
  <si>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</si>
  <si>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</si>
  <si>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</si>
  <si>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</si>
  <si>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</si>
  <si>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</si>
  <si>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</si>
  <si>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</si>
  <si>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</si>
  <si>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</si>
  <si>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</si>
  <si>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</si>
  <si>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</si>
  <si>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</si>
  <si>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</si>
  <si>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</si>
  <si>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</si>
  <si>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</si>
  <si>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</si>
  <si>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</si>
  <si>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</si>
  <si>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</si>
  <si>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</si>
  <si>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</si>
  <si>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</si>
  <si>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</si>
  <si>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</si>
  <si>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</si>
  <si>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</si>
  <si>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</si>
  <si>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</si>
  <si>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</si>
  <si>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</si>
  <si>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</si>
  <si>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</si>
  <si>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</si>
  <si>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</si>
  <si>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</si>
  <si>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</si>
  <si>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</si>
  <si>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</si>
  <si>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</si>
  <si>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</si>
  <si>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</si>
  <si>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</si>
  <si>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</si>
  <si>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</si>
  <si>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</si>
  <si>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</si>
  <si>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</si>
  <si>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</si>
  <si>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</si>
  <si>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</si>
  <si>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</si>
  <si>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</si>
  <si>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</si>
  <si>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</si>
  <si>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</si>
  <si>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</si>
  <si>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</si>
  <si>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</si>
  <si>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</si>
  <si>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</si>
  <si>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</si>
  <si>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</si>
  <si>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</si>
  <si>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</si>
  <si>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</si>
  <si>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</si>
  <si>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</si>
  <si>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</si>
  <si>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</si>
  <si>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</si>
  <si>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</si>
  <si>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</si>
  <si>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</si>
  <si>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</si>
  <si>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</si>
  <si>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</si>
  <si>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</si>
  <si>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</si>
  <si>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</si>
  <si>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</si>
  <si>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</si>
  <si>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</si>
  <si>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</si>
  <si>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</si>
  <si>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</si>
  <si>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</si>
  <si>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</si>
  <si>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</si>
  <si>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</si>
  <si>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</si>
  <si>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</si>
  <si>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</si>
  <si>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</si>
  <si>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</si>
  <si>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</si>
  <si>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</si>
  <si>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</si>
  <si>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</si>
  <si>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</si>
  <si>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</si>
  <si>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</si>
  <si>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</si>
  <si>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</si>
  <si>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</si>
  <si>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</si>
  <si>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</si>
  <si>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</si>
  <si>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</si>
  <si>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</si>
  <si>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</si>
  <si>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</si>
  <si>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</si>
  <si>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</si>
  <si>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</si>
  <si>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</si>
  <si>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</si>
  <si>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</si>
  <si>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</si>
  <si>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</si>
  <si>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</si>
  <si>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</si>
  <si>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</si>
  <si>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</si>
  <si>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</si>
  <si>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</si>
  <si>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</si>
  <si>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</si>
  <si>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</si>
  <si>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</si>
  <si>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</si>
  <si>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</si>
  <si>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</si>
  <si>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</si>
  <si>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</si>
  <si>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</si>
  <si>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</si>
  <si>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</si>
  <si>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</si>
  <si>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</si>
  <si>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</si>
  <si>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</si>
  <si>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</si>
  <si>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</si>
  <si>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</si>
  <si>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</si>
  <si>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</si>
  <si>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</si>
  <si>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</si>
  <si>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</si>
  <si>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</si>
  <si>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</si>
  <si>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</si>
  <si>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</si>
  <si>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</si>
  <si>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</si>
  <si>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</si>
  <si>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</si>
  <si>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</si>
  <si>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</si>
  <si>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</si>
  <si>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</si>
  <si>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</si>
  <si>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</si>
  <si>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</si>
  <si>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</si>
  <si>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</si>
  <si>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</si>
  <si>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</si>
  <si>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</si>
  <si>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</si>
  <si>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</si>
  <si>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</si>
  <si>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</si>
  <si>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</si>
  <si>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</si>
  <si>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</si>
  <si>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</si>
  <si>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</si>
  <si>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</si>
  <si>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</si>
  <si>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</si>
  <si>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</si>
  <si>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</si>
  <si>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</si>
  <si>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</si>
  <si>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</si>
  <si>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</si>
  <si>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</si>
  <si>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</si>
  <si>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</si>
  <si>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</si>
  <si>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</si>
  <si>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</si>
  <si>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</si>
  <si>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</si>
  <si>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</si>
  <si>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</si>
  <si>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</si>
  <si>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</si>
  <si>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</si>
  <si>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</si>
  <si>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</si>
  <si>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</si>
  <si>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</si>
  <si>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</si>
  <si>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</si>
  <si>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</si>
  <si>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</si>
  <si>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</si>
  <si>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</si>
  <si>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</si>
  <si>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</si>
  <si>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</si>
  <si>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</si>
  <si>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</si>
  <si>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</si>
  <si>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</si>
  <si>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</si>
  <si>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</si>
  <si>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</si>
  <si>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</si>
  <si>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</si>
  <si>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</si>
  <si>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</si>
  <si>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</si>
  <si>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</si>
  <si>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</si>
  <si>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</si>
  <si>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</si>
  <si>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</si>
  <si>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</si>
  <si>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</si>
  <si>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</si>
  <si>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</si>
  <si>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</si>
  <si>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</si>
  <si>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</si>
  <si>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</si>
  <si>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</si>
  <si>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</si>
  <si>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</si>
  <si>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</si>
  <si>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</si>
  <si>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</si>
  <si>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</si>
  <si>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</si>
  <si>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</si>
  <si>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</si>
  <si>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</si>
  <si>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</si>
  <si>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</si>
  <si>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</si>
  <si>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</si>
  <si>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</si>
  <si>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</si>
  <si>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</si>
  <si>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</si>
  <si>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</si>
  <si>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</si>
  <si>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</si>
  <si>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</si>
  <si>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</si>
  <si>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</si>
  <si>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</si>
  <si>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</si>
  <si>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</si>
  <si>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</si>
  <si>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</si>
  <si>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</si>
  <si>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</si>
  <si>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</si>
  <si>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</si>
  <si>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</si>
  <si>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</si>
  <si>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</si>
  <si>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</si>
  <si>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</si>
  <si>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</si>
  <si>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</si>
  <si>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</si>
  <si>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</si>
  <si>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</si>
  <si>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</si>
  <si>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</si>
  <si>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</si>
  <si>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</si>
  <si>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</si>
  <si>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</si>
  <si>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</si>
  <si>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</si>
  <si>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</si>
  <si>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</si>
  <si>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</si>
  <si>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</si>
  <si>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</si>
  <si>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</si>
  <si>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</si>
  <si>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</si>
  <si>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</si>
  <si>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</si>
  <si>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</si>
  <si>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</si>
  <si>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</si>
  <si>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</si>
  <si>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</si>
  <si>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</si>
  <si>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</si>
  <si>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</si>
  <si>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</si>
  <si>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</si>
  <si>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</si>
  <si>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</si>
  <si>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</si>
  <si>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</si>
  <si>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</si>
  <si>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</si>
  <si>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</si>
  <si>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</si>
  <si>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</si>
  <si>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</si>
  <si>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</si>
  <si>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</si>
  <si>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</si>
  <si>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</si>
  <si>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</si>
  <si>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</si>
  <si>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</si>
  <si>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</si>
  <si>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</si>
  <si>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</si>
  <si>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</si>
  <si>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</si>
  <si>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</si>
  <si>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</si>
  <si>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</si>
  <si>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</si>
  <si>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</si>
  <si>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</si>
  <si>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</si>
  <si>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</si>
  <si>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</si>
  <si>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</si>
  <si>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</si>
  <si>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</si>
  <si>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</si>
  <si>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</si>
  <si>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</si>
  <si>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</si>
  <si>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</si>
  <si>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</si>
  <si>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</si>
  <si>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</si>
  <si>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</si>
  <si>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</si>
  <si>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</si>
  <si>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</si>
  <si>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</si>
  <si>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</si>
  <si>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</si>
  <si>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</si>
  <si>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</si>
  <si>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</si>
  <si>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</si>
  <si>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</si>
  <si>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</si>
  <si>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</si>
  <si>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</si>
  <si>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</si>
  <si>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</si>
  <si>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</si>
  <si>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</si>
  <si>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</si>
  <si>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</si>
  <si>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</si>
  <si>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</si>
  <si>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</si>
  <si>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</si>
  <si>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</si>
  <si>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</si>
  <si>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</si>
  <si>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</si>
  <si>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</si>
  <si>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</si>
  <si>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</si>
  <si>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</si>
  <si>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</si>
  <si>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</si>
  <si>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</si>
  <si>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</si>
  <si>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</si>
  <si>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</si>
  <si>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</si>
  <si>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</si>
  <si>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</si>
  <si>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</si>
  <si>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</si>
  <si>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</si>
  <si>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</si>
  <si>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</si>
  <si>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</si>
  <si>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</si>
  <si>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</si>
  <si>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</si>
  <si>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</si>
  <si>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</si>
  <si>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</si>
  <si>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</si>
  <si>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</si>
  <si>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</si>
  <si>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</si>
  <si>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</si>
  <si>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</si>
  <si>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</si>
  <si>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</si>
  <si>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</si>
  <si>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</si>
  <si>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</si>
  <si>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</si>
  <si>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</si>
  <si>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</si>
  <si>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</si>
  <si>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</si>
  <si>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</si>
  <si>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</si>
  <si>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</si>
  <si>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</si>
  <si>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</si>
  <si>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</si>
  <si>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</si>
  <si>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</si>
  <si>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</si>
  <si>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</si>
  <si>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</si>
  <si>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</si>
  <si>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</si>
  <si>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</si>
  <si>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</si>
  <si>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</si>
  <si>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</si>
  <si>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</si>
  <si>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</si>
  <si>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</si>
  <si>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</si>
  <si>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</si>
  <si>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</si>
  <si>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</si>
  <si>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</si>
  <si>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</si>
  <si>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</si>
  <si>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</si>
  <si>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</si>
  <si>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</si>
  <si>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</si>
  <si>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</si>
  <si>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</si>
  <si>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</si>
  <si>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</si>
  <si>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</si>
  <si>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</si>
  <si>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</si>
  <si>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</si>
  <si>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</si>
  <si>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</si>
  <si>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</si>
  <si>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</si>
  <si>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</si>
  <si>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</si>
  <si>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</si>
  <si>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</si>
  <si>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</si>
  <si>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</si>
  <si>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</si>
  <si>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</si>
  <si>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</si>
  <si>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</si>
  <si>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</si>
  <si>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</si>
  <si>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</si>
  <si>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</si>
  <si>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</si>
  <si>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</si>
  <si>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</si>
  <si>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</si>
  <si>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</si>
  <si>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</si>
  <si>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</si>
  <si>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</si>
  <si>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</si>
  <si>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</si>
  <si>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</si>
  <si>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</si>
  <si>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</si>
  <si>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</si>
  <si>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</si>
  <si>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</si>
  <si>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</si>
  <si>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</si>
  <si>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</si>
  <si>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</si>
  <si>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</si>
  <si>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</si>
  <si>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</si>
  <si>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</si>
  <si>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</si>
  <si>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</si>
  <si>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</si>
  <si>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</si>
  <si>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</si>
  <si>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</si>
  <si>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</si>
  <si>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</si>
  <si>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</si>
  <si>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</si>
  <si>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</si>
  <si>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</si>
  <si>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</si>
  <si>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</si>
  <si>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</si>
  <si>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</si>
  <si>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</si>
  <si>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</si>
  <si>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</si>
  <si>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</si>
  <si>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</si>
  <si>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</si>
  <si>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</si>
  <si>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</si>
  <si>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</si>
  <si>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</si>
  <si>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</si>
  <si>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</si>
  <si>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</si>
  <si>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</si>
  <si>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</si>
  <si>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</si>
  <si>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</si>
  <si>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</si>
  <si>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</si>
  <si>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</si>
  <si>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</si>
  <si>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</si>
  <si>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</si>
  <si>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</si>
  <si>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</si>
  <si>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</si>
  <si>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</si>
  <si>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</si>
  <si>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</si>
  <si>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</si>
  <si>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</si>
  <si>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</si>
  <si>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</si>
  <si>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</si>
  <si>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</si>
  <si>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</si>
  <si>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</si>
  <si>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</si>
  <si>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</si>
  <si>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</si>
  <si>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</si>
  <si>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</si>
  <si>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</si>
  <si>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</si>
  <si>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</si>
  <si>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</si>
  <si>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</si>
  <si>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</si>
  <si>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</si>
  <si>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</si>
  <si>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</si>
  <si>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</si>
  <si>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</si>
  <si>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</si>
  <si>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</si>
  <si>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</si>
  <si>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</si>
  <si>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</si>
  <si>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</si>
  <si>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</si>
  <si>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</si>
  <si>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</si>
  <si>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</si>
  <si>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</si>
  <si>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</si>
  <si>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</si>
  <si>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</si>
  <si>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</si>
  <si>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</si>
  <si>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</si>
  <si>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</si>
  <si>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</si>
  <si>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</si>
  <si>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</si>
  <si>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</si>
  <si>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</si>
  <si>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</si>
  <si>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</si>
  <si>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</si>
  <si>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</si>
  <si>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</si>
  <si>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</si>
  <si>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</si>
  <si>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</si>
  <si>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</si>
  <si>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</si>
  <si>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</si>
  <si>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</si>
  <si>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</si>
  <si>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</si>
  <si>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</si>
  <si>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</si>
  <si>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</si>
  <si>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</si>
  <si>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</si>
  <si>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</si>
  <si>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</si>
  <si>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</si>
  <si>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</si>
  <si>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</si>
  <si>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</si>
  <si>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</si>
  <si>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</si>
  <si>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</si>
  <si>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</si>
  <si>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</si>
  <si>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</si>
  <si>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</si>
  <si>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</si>
  <si>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</si>
  <si>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</si>
  <si>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</si>
  <si>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</si>
  <si>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</si>
  <si>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</si>
  <si>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</si>
  <si>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</si>
  <si>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</si>
  <si>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</si>
  <si>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</si>
  <si>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</si>
  <si>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</si>
  <si>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</si>
  <si>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</si>
  <si>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</si>
  <si>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</si>
  <si>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</si>
  <si>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</si>
  <si>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</si>
  <si>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</si>
  <si>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</si>
  <si>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</si>
  <si>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</si>
  <si>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</si>
  <si>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</si>
  <si>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</si>
  <si>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</si>
  <si>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</si>
  <si>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</si>
  <si>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</si>
  <si>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</si>
  <si>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</si>
  <si>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</si>
  <si>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</si>
  <si>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</si>
  <si>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</si>
  <si>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</si>
  <si>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</si>
  <si>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</si>
  <si>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</si>
  <si>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</si>
  <si>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</si>
  <si>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</si>
  <si>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</si>
  <si>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</si>
  <si>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</si>
  <si>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</si>
  <si>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</si>
  <si>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</si>
  <si>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</si>
  <si>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</si>
  <si>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</si>
  <si>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</si>
  <si>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</si>
  <si>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</si>
  <si>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</si>
  <si>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</si>
  <si>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</si>
  <si>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</si>
  <si>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</si>
  <si>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</si>
  <si>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</si>
  <si>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</si>
  <si>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</si>
  <si>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</si>
  <si>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</si>
  <si>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</si>
  <si>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</si>
  <si>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</si>
  <si>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</si>
  <si>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</si>
  <si>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</si>
  <si>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</si>
  <si>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</si>
  <si>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</si>
  <si>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</si>
  <si>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</si>
  <si>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</si>
  <si>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</si>
  <si>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</si>
  <si>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</si>
  <si>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</si>
  <si>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</si>
  <si>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</si>
  <si>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</si>
  <si>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</si>
  <si>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</si>
  <si>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</si>
  <si>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</si>
  <si>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</si>
  <si>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</si>
  <si>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</si>
  <si>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</si>
  <si>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</si>
  <si>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</si>
  <si>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</si>
  <si>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</si>
  <si>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</si>
  <si>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</si>
  <si>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</si>
  <si>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</si>
  <si>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</si>
  <si>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</si>
  <si>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</si>
  <si>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</si>
  <si>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</si>
  <si>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</si>
  <si>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</si>
  <si>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</si>
  <si>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</si>
  <si>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</si>
  <si>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</si>
  <si>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</si>
  <si>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</si>
  <si>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</si>
  <si>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</si>
  <si>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</si>
  <si>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</si>
  <si>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</si>
  <si>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</si>
  <si>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</si>
  <si>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</si>
  <si>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</si>
  <si>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</si>
  <si>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</si>
  <si>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</si>
  <si>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</si>
  <si>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</si>
  <si>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</si>
  <si>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</si>
  <si>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</si>
  <si>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</si>
  <si>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</si>
  <si>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</si>
  <si>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</si>
  <si>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</si>
  <si>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</si>
  <si>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</si>
  <si>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</si>
  <si>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</si>
  <si>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</si>
  <si>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</si>
  <si>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</si>
  <si>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</si>
  <si>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</si>
  <si>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</si>
  <si>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</si>
  <si>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</si>
  <si>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</si>
  <si>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</si>
  <si>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</si>
  <si>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</si>
  <si>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</si>
  <si>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</si>
  <si>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</si>
  <si>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</si>
  <si>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</si>
  <si>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</si>
  <si>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</si>
  <si>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</si>
  <si>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</si>
  <si>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</si>
  <si>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</si>
  <si>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</si>
  <si>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</si>
  <si>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</si>
  <si>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</si>
  <si>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</si>
  <si>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</si>
  <si>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</si>
  <si>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</si>
  <si>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</si>
  <si>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</si>
  <si>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</si>
  <si>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</si>
  <si>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</si>
  <si>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</si>
  <si>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</si>
  <si>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</si>
  <si>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</si>
  <si>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</si>
  <si>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</si>
  <si>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</si>
  <si>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</si>
  <si>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</si>
  <si>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</si>
  <si>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</si>
  <si>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</si>
  <si>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</si>
  <si>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</si>
  <si>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</si>
  <si>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</si>
  <si>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</si>
  <si>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</si>
  <si>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</si>
  <si>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</si>
  <si>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</si>
  <si>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</si>
  <si>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</si>
  <si>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</si>
  <si>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</si>
  <si>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</si>
  <si>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</si>
  <si>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</si>
  <si>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</si>
  <si>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</si>
  <si>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</si>
  <si>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</si>
  <si>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</si>
  <si>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</si>
  <si>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</si>
  <si>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</si>
  <si>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</si>
  <si>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</si>
  <si>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</si>
  <si>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</si>
  <si>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</si>
  <si>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</si>
  <si>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</si>
  <si>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</si>
  <si>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</si>
  <si>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</si>
  <si>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</si>
  <si>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</si>
  <si>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</si>
  <si>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</si>
  <si>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</si>
  <si>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</si>
  <si>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</si>
  <si>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</si>
  <si>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</si>
  <si>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</si>
  <si>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</si>
  <si>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</si>
  <si>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</si>
  <si>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</si>
  <si>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</si>
  <si>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</si>
  <si>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</si>
  <si>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</si>
  <si>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</si>
  <si>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</si>
  <si>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</si>
  <si>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</si>
  <si>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</si>
  <si>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</si>
  <si>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</si>
  <si>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</si>
  <si>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</si>
  <si>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</si>
  <si>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</si>
  <si>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</si>
  <si>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</si>
  <si>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</si>
  <si>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</si>
  <si>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</si>
  <si>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</si>
  <si>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</si>
  <si>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</si>
  <si>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</si>
  <si>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</si>
  <si>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</si>
  <si>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</si>
  <si>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</si>
  <si>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</si>
  <si>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</si>
  <si>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</si>
  <si>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</si>
  <si>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</si>
  <si>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</si>
  <si>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</si>
  <si>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</si>
  <si>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</si>
  <si>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</si>
  <si>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</si>
  <si>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</si>
  <si>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</si>
  <si>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</si>
  <si>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</si>
  <si>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</si>
  <si>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</si>
  <si>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</si>
  <si>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</si>
  <si>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</si>
  <si>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</si>
  <si>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</si>
  <si>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</si>
  <si>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</si>
  <si>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</si>
  <si>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</si>
  <si>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</si>
  <si>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</si>
  <si>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</si>
  <si>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</si>
  <si>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</si>
  <si>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</si>
  <si>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</si>
  <si>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</si>
  <si>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</si>
  <si>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</si>
  <si>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</si>
  <si>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</si>
  <si>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</si>
  <si>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</si>
  <si>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</si>
  <si>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</si>
  <si>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</si>
  <si>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</si>
  <si>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</si>
  <si>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</si>
  <si>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</si>
  <si>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</si>
  <si>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</si>
  <si>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</si>
  <si>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</si>
  <si>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</si>
  <si>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</si>
  <si>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</si>
  <si>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</si>
  <si>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</si>
  <si>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</si>
  <si>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</si>
  <si>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</si>
  <si>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</si>
  <si>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</si>
  <si>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</si>
  <si>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</si>
  <si>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</si>
  <si>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</si>
  <si>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</si>
  <si>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</si>
  <si>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</si>
  <si>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</si>
  <si>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</si>
  <si>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</si>
  <si>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</si>
  <si>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</si>
  <si>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</si>
  <si>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</si>
  <si>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</si>
  <si>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</si>
  <si>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</si>
  <si>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</si>
  <si>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</si>
  <si>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</si>
  <si>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</si>
  <si>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</si>
  <si>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</si>
  <si>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</si>
  <si>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</si>
  <si>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</si>
  <si>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</si>
  <si>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</si>
  <si>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</si>
  <si>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</si>
  <si>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</si>
  <si>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</si>
  <si>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</si>
  <si>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</si>
  <si>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</si>
  <si>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</si>
  <si>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</si>
  <si>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</si>
  <si>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</si>
  <si>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</si>
  <si>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</si>
  <si>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</si>
  <si>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</si>
  <si>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</si>
  <si>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</si>
  <si>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</si>
  <si>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</si>
  <si>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</si>
  <si>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</si>
  <si>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</si>
  <si>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</si>
  <si>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</si>
  <si>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</si>
  <si>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</si>
  <si>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</si>
  <si>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</si>
  <si>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</si>
  <si>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</si>
  <si>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</si>
  <si>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</si>
  <si>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</si>
  <si>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</si>
  <si>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</si>
  <si>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</si>
  <si>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</si>
  <si>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</si>
  <si>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</si>
  <si>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</si>
  <si>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</si>
  <si>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</si>
  <si>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</si>
  <si>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</si>
  <si>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</si>
  <si>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</si>
  <si>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</si>
  <si>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</si>
  <si>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</si>
  <si>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</si>
  <si>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</si>
  <si>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</si>
  <si>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</si>
  <si>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</si>
  <si>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</si>
  <si>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</si>
  <si>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</si>
  <si>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</si>
  <si>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</si>
  <si>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</si>
  <si>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</si>
  <si>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</si>
  <si>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</si>
  <si>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</si>
  <si>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</si>
  <si>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</si>
  <si>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</si>
  <si>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</si>
  <si>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</si>
  <si>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</si>
  <si>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</si>
  <si>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</si>
  <si>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</si>
  <si>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</si>
  <si>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</si>
  <si>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</si>
  <si>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</si>
  <si>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</si>
  <si>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</si>
  <si>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</si>
  <si>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</si>
  <si>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</si>
  <si>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</si>
  <si>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</si>
  <si>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</si>
  <si>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</si>
  <si>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</si>
  <si>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</si>
  <si>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</si>
  <si>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</si>
  <si>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</si>
  <si>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</si>
  <si>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</si>
  <si>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</si>
  <si>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</si>
  <si>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</si>
  <si>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</si>
  <si>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</si>
  <si>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</si>
  <si>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</si>
  <si>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</si>
  <si>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</si>
  <si>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</si>
  <si>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</si>
  <si>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</si>
  <si>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</si>
  <si>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</si>
  <si>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</si>
  <si>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</si>
  <si>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</si>
  <si>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</si>
  <si>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</si>
  <si>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</si>
  <si>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</si>
  <si>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</si>
  <si>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</si>
  <si>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</si>
  <si>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</si>
  <si>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</si>
  <si>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</si>
  <si>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</si>
  <si>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</si>
  <si>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</si>
  <si>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</si>
  <si>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</si>
  <si>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</si>
  <si>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</si>
  <si>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</si>
  <si>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</si>
  <si>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</si>
  <si>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</si>
  <si>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</si>
  <si>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</si>
  <si>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</si>
  <si>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</si>
  <si>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</si>
  <si>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</si>
  <si>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</si>
  <si>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</si>
  <si>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</si>
  <si>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</si>
  <si>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</si>
  <si>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</si>
  <si>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</si>
  <si>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</si>
  <si>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</si>
  <si>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</si>
  <si>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</si>
  <si>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</si>
  <si>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</si>
  <si>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</si>
  <si>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</si>
  <si>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</si>
  <si>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</si>
  <si>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</si>
  <si>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</si>
  <si>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</si>
  <si>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</si>
  <si>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</si>
  <si>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</si>
  <si>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</si>
  <si>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</si>
  <si>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</si>
  <si>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</si>
  <si>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</si>
  <si>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</si>
  <si>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</si>
  <si>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</si>
  <si>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</si>
  <si>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</si>
  <si>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</si>
  <si>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</si>
  <si>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</si>
  <si>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</si>
  <si>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</si>
  <si>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</si>
  <si>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</si>
  <si>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</si>
  <si>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</si>
  <si>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</si>
  <si>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</si>
  <si>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</si>
  <si>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</si>
  <si>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</si>
  <si>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</si>
  <si>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</si>
  <si>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</si>
  <si>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</si>
  <si>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</si>
  <si>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</si>
  <si>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</si>
  <si>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</si>
  <si>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</si>
  <si>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</si>
  <si>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</si>
  <si>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</si>
  <si>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</si>
  <si>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</si>
  <si>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</si>
  <si>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</si>
  <si>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</si>
  <si>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</si>
  <si>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</si>
  <si>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</si>
  <si>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</si>
  <si>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</si>
  <si>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</si>
  <si>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</si>
  <si>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</si>
  <si>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</si>
  <si>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</si>
  <si>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</si>
  <si>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</si>
  <si>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</si>
  <si>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</si>
  <si>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</si>
  <si>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</si>
  <si>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</si>
  <si>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</si>
  <si>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</si>
  <si>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</si>
  <si>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</si>
  <si>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</si>
  <si>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</si>
  <si>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</si>
  <si>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</si>
  <si>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</si>
  <si>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</si>
  <si>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</si>
  <si>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</si>
  <si>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</si>
  <si>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</si>
  <si>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</si>
  <si>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</si>
  <si>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</si>
  <si>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</si>
  <si>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</si>
  <si>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</si>
  <si>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</si>
  <si>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</si>
  <si>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</si>
  <si>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</si>
  <si>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</si>
  <si>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</si>
  <si>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</si>
  <si>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</si>
  <si>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</si>
  <si>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</si>
  <si>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</si>
  <si>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</si>
  <si>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</si>
  <si>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</si>
  <si>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</si>
  <si>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</si>
  <si>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</si>
  <si>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</si>
  <si>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</si>
  <si>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</si>
  <si>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</si>
  <si>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</si>
  <si>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</si>
  <si>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</si>
  <si>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</si>
  <si>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</si>
  <si>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</si>
  <si>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</si>
  <si>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</si>
  <si>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</si>
  <si>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</si>
  <si>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</si>
  <si>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</si>
  <si>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</si>
  <si>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</si>
  <si>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</si>
  <si>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</si>
  <si>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</si>
  <si>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</si>
  <si>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</si>
  <si>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</si>
  <si>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</si>
  <si>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</si>
  <si>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</si>
  <si>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</si>
  <si>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</si>
  <si>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</si>
  <si>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</si>
  <si>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</si>
  <si>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</si>
  <si>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</si>
  <si>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</si>
  <si>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</si>
  <si>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</si>
  <si>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</si>
  <si>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</si>
  <si>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</si>
  <si>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</si>
  <si>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</si>
  <si>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</si>
  <si>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</si>
  <si>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</si>
  <si>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</si>
  <si>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</si>
  <si>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</si>
  <si>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</si>
  <si>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</si>
  <si>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</si>
  <si>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</si>
  <si>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</si>
  <si>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</si>
  <si>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</si>
  <si>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</si>
  <si>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</si>
  <si>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</si>
  <si>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</si>
  <si>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</si>
  <si>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</si>
  <si>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</si>
  <si>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</si>
  <si>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</si>
  <si>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</si>
  <si>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</si>
  <si>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</si>
  <si>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</si>
  <si>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</si>
  <si>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</si>
  <si>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</si>
  <si>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</si>
  <si>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</si>
  <si>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</si>
  <si>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</si>
  <si>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</si>
  <si>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</si>
  <si>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</si>
  <si>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</si>
  <si>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</si>
  <si>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</si>
  <si>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</si>
  <si>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</si>
  <si>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</si>
  <si>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</si>
  <si>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</si>
  <si>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</si>
  <si>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</si>
  <si>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</si>
  <si>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</si>
  <si>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</si>
  <si>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</si>
  <si>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</si>
  <si>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</si>
  <si>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</si>
  <si>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</si>
  <si>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</si>
  <si>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</si>
  <si>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</si>
  <si>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</si>
  <si>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</si>
  <si>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</si>
  <si>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</si>
  <si>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</si>
  <si>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</si>
  <si>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</si>
  <si>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</si>
  <si>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</si>
  <si>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</si>
  <si>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</si>
  <si>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</si>
  <si>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</si>
  <si>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</si>
  <si>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</si>
  <si>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</si>
  <si>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</si>
  <si>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</si>
  <si>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</si>
  <si>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</si>
  <si>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</si>
  <si>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</si>
  <si>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</si>
  <si>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</si>
  <si>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</si>
  <si>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</si>
  <si>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</si>
  <si>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</si>
  <si>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</si>
  <si>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</si>
  <si>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</si>
  <si>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</si>
  <si>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</si>
  <si>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</si>
  <si>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</si>
  <si>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</si>
  <si>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</si>
  <si>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</si>
  <si>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</si>
  <si>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</si>
  <si>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</si>
  <si>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</si>
  <si>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</si>
  <si>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</si>
  <si>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</si>
  <si>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</si>
  <si>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</si>
  <si>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</si>
  <si>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</si>
  <si>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</si>
  <si>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</si>
  <si>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</si>
  <si>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</si>
  <si>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</si>
  <si>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</si>
  <si>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</si>
  <si>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</si>
  <si>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</si>
  <si>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</si>
  <si>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</si>
  <si>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</si>
  <si>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</si>
  <si>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</si>
  <si>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</si>
  <si>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</si>
  <si>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</si>
  <si>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</si>
  <si>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</si>
  <si>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</si>
  <si>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</si>
  <si>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</si>
  <si>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</si>
  <si>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</si>
  <si>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</si>
  <si>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</si>
  <si>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</si>
  <si>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</si>
  <si>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</si>
  <si>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</si>
  <si>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</si>
  <si>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</si>
  <si>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</si>
  <si>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</si>
  <si>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</si>
  <si>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</si>
  <si>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</si>
  <si>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</si>
  <si>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</si>
  <si>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</si>
  <si>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</si>
  <si>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</si>
  <si>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</si>
  <si>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</si>
  <si>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</si>
  <si>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</si>
  <si>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</si>
  <si>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</si>
  <si>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</si>
  <si>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</si>
  <si>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</si>
  <si>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</si>
  <si>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</si>
  <si>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</si>
  <si>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</si>
  <si>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</si>
  <si>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</si>
  <si>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</si>
  <si>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</si>
  <si>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</si>
  <si>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</si>
  <si>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</si>
  <si>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</si>
  <si>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</si>
  <si>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</si>
  <si>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</si>
  <si>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</si>
  <si>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</si>
  <si>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</si>
  <si>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</si>
  <si>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</si>
  <si>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</si>
  <si>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</si>
  <si>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</si>
  <si>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</si>
  <si>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</si>
  <si>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</si>
  <si>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</si>
  <si>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</si>
  <si>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</si>
  <si>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</si>
  <si>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</si>
  <si>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</si>
  <si>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</si>
  <si>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</si>
  <si>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</si>
  <si>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</si>
  <si>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</si>
  <si>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</si>
  <si>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</si>
  <si>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</si>
  <si>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</si>
  <si>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</si>
  <si>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</si>
  <si>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</si>
  <si>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</si>
  <si>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</si>
  <si>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</si>
  <si>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</si>
  <si>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</si>
  <si>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</si>
  <si>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</si>
  <si>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</si>
  <si>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</si>
  <si>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</si>
  <si>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</si>
  <si>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</si>
  <si>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</si>
  <si>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</si>
  <si>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</si>
  <si>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</si>
  <si>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</si>
  <si>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</si>
  <si>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</si>
  <si>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</si>
  <si>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</si>
  <si>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</si>
  <si>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</si>
  <si>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</si>
  <si>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</si>
  <si>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</si>
  <si>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</si>
  <si>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</si>
  <si>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</si>
  <si>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</si>
  <si>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</si>
  <si>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</si>
  <si>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</si>
  <si>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</si>
  <si>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</si>
  <si>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</si>
  <si>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</si>
  <si>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</si>
  <si>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</si>
  <si>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</si>
  <si>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</si>
  <si>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</si>
  <si>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</si>
  <si>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</si>
  <si>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</si>
  <si>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</si>
  <si>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</si>
  <si>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</si>
  <si>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</si>
  <si>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</si>
  <si>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</si>
  <si>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</si>
  <si>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</si>
  <si>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</si>
  <si>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</si>
  <si>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</si>
  <si>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</si>
  <si>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</si>
  <si>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</si>
  <si>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</si>
  <si>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</si>
  <si>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</si>
  <si>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</si>
  <si>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</si>
  <si>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</si>
  <si>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</si>
  <si>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</si>
  <si>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</si>
  <si>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</si>
  <si>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</si>
  <si>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</si>
  <si>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</si>
  <si>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</si>
  <si>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</si>
  <si>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</si>
  <si>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</si>
  <si>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</si>
  <si>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</si>
  <si>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</si>
  <si>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</si>
  <si>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</si>
  <si>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</si>
  <si>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</si>
  <si>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</si>
  <si>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</si>
  <si>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</si>
  <si>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</si>
  <si>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</si>
  <si>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</si>
  <si>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</si>
  <si>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</si>
  <si>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</si>
  <si>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</si>
  <si>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</si>
  <si>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</si>
  <si>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</si>
  <si>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</si>
  <si>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</si>
  <si>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</si>
  <si>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</si>
  <si>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</si>
  <si>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</si>
  <si>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</si>
  <si>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</si>
  <si>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</si>
  <si>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</si>
  <si>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</si>
  <si>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</si>
  <si>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</si>
  <si>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</si>
  <si>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</si>
  <si>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</si>
  <si>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</si>
  <si>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</si>
  <si>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</si>
  <si>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</si>
  <si>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</si>
  <si>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</si>
  <si>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</si>
  <si>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</si>
  <si>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</si>
  <si>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</si>
  <si>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</si>
  <si>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</si>
  <si>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</si>
  <si>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</si>
  <si>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</si>
  <si>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</si>
  <si>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</si>
  <si>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</si>
  <si>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</si>
  <si>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</si>
  <si>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</si>
  <si>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</si>
  <si>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</si>
  <si>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</si>
  <si>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</si>
  <si>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</si>
  <si>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</si>
  <si>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</si>
  <si>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</si>
  <si>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</si>
  <si>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</si>
  <si>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</si>
  <si>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</si>
  <si>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</si>
  <si>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</si>
  <si>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</si>
  <si>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</si>
  <si>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</si>
  <si>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</si>
  <si>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</si>
  <si>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</si>
  <si>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</si>
  <si>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</si>
  <si>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</si>
  <si>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</si>
  <si>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</si>
  <si>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</si>
  <si>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</si>
  <si>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</si>
  <si>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</si>
  <si>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</si>
  <si>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</si>
  <si>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</si>
  <si>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</si>
  <si>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</si>
  <si>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</si>
  <si>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</si>
  <si>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</si>
  <si>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</si>
  <si>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</si>
  <si>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</si>
  <si>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</si>
  <si>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</si>
  <si>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</si>
  <si>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</si>
  <si>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</si>
  <si>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</si>
  <si>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</si>
  <si>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</si>
  <si>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</si>
  <si>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</si>
  <si>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</si>
  <si>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</si>
  <si>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</si>
  <si>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</si>
  <si>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</si>
  <si>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</si>
  <si>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</si>
  <si>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</si>
  <si>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</si>
  <si>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</si>
  <si>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</si>
  <si>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</si>
  <si>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</si>
  <si>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</si>
  <si>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</si>
  <si>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</si>
  <si>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</si>
  <si>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</si>
  <si>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</si>
  <si>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</si>
  <si>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</si>
  <si>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</si>
  <si>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</si>
  <si>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</si>
  <si>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</si>
  <si>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</si>
  <si>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</si>
  <si>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</si>
  <si>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</si>
  <si>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</si>
  <si>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</si>
  <si>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</si>
  <si>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</si>
  <si>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</si>
  <si>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</si>
  <si>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</si>
  <si>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</si>
  <si>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</si>
  <si>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</si>
  <si>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</si>
  <si>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</si>
  <si>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</si>
  <si>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</si>
  <si>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</si>
  <si>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</si>
  <si>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</si>
  <si>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</si>
  <si>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</si>
  <si>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</si>
  <si>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</si>
  <si>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</si>
  <si>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</si>
  <si>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</si>
  <si>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</si>
  <si>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</si>
  <si>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</si>
  <si>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</si>
  <si>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</si>
  <si>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</si>
  <si>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</si>
  <si>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</si>
  <si>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</si>
  <si>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</si>
  <si>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</si>
  <si>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</si>
  <si>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</si>
  <si>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</si>
  <si>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</si>
  <si>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</si>
  <si>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</si>
  <si>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</si>
  <si>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</si>
  <si>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</si>
  <si>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</si>
  <si>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</si>
  <si>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</si>
  <si>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</si>
  <si>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</si>
  <si>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</si>
  <si>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</si>
  <si>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</si>
  <si>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</si>
  <si>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</si>
  <si>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</si>
  <si>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</si>
  <si>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</si>
  <si>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</si>
  <si>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</si>
  <si>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</si>
  <si>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</si>
  <si>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</si>
  <si>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</si>
  <si>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</si>
  <si>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</si>
  <si>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</si>
  <si>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</si>
  <si>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</si>
  <si>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</si>
  <si>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</si>
  <si>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</si>
  <si>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</si>
  <si>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</si>
  <si>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</si>
  <si>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</si>
  <si>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</si>
  <si>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</si>
  <si>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</si>
  <si>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</si>
  <si>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</si>
  <si>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</si>
  <si>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</si>
  <si>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</si>
  <si>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</si>
  <si>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</si>
  <si>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</si>
  <si>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</si>
  <si>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</si>
  <si>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</si>
  <si>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</si>
  <si>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</si>
  <si>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</si>
  <si>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</si>
  <si>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</si>
  <si>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</si>
  <si>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</si>
  <si>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</si>
  <si>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</si>
  <si>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</si>
  <si>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</si>
  <si>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</si>
  <si>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</si>
  <si>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</si>
  <si>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</si>
  <si>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</si>
  <si>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</si>
  <si>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</si>
  <si>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</si>
  <si>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</si>
  <si>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</si>
  <si>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</si>
  <si>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</si>
  <si>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</si>
  <si>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</si>
  <si>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</si>
  <si>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</si>
  <si>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</si>
  <si>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</si>
  <si>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</si>
  <si>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</si>
  <si>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</si>
  <si>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</si>
  <si>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</si>
  <si>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</si>
  <si>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</si>
  <si>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</si>
  <si>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</si>
  <si>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</si>
  <si>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</si>
  <si>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</si>
  <si>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</si>
  <si>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</si>
  <si>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</si>
  <si>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</si>
  <si>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</si>
  <si>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</si>
  <si>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</si>
  <si>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</si>
  <si>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</si>
  <si>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</si>
  <si>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</si>
  <si>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</si>
  <si>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</si>
  <si>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</si>
  <si>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</si>
  <si>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</si>
  <si>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</si>
  <si>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</si>
  <si>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</si>
  <si>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</si>
  <si>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</si>
  <si>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</si>
  <si>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</si>
  <si>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</si>
  <si>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</si>
  <si>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</si>
  <si>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</si>
  <si>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</si>
  <si>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</si>
  <si>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</si>
  <si>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</si>
  <si>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</si>
  <si>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</si>
  <si>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</si>
  <si>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</si>
  <si>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</si>
  <si>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</si>
  <si>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</si>
  <si>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</si>
  <si>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</si>
  <si>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</si>
  <si>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</si>
  <si>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</si>
  <si>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</si>
  <si>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</si>
  <si>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</si>
  <si>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</si>
  <si>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</si>
  <si>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</si>
  <si>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</si>
  <si>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</si>
  <si>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</si>
  <si>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</si>
  <si>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</si>
  <si>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</si>
  <si>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</si>
  <si>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</si>
  <si>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</si>
  <si>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</si>
  <si>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</si>
  <si>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</si>
  <si>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</si>
  <si>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</si>
  <si>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</si>
  <si>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</si>
  <si>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</si>
  <si>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</si>
  <si>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</si>
  <si>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</si>
  <si>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</si>
  <si>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</si>
  <si>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</si>
  <si>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</si>
  <si>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</si>
  <si>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</si>
  <si>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</si>
  <si>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</si>
  <si>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</si>
  <si>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</si>
  <si>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</si>
  <si>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</si>
  <si>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</si>
  <si>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</si>
  <si>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</si>
  <si>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</si>
  <si>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</si>
  <si>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</si>
  <si>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</si>
  <si>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</si>
  <si>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</si>
  <si>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</si>
  <si>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</si>
  <si>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</si>
  <si>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</si>
  <si>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</si>
  <si>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</si>
  <si>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</si>
  <si>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</si>
  <si>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</si>
  <si>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</si>
  <si>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</si>
  <si>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</si>
  <si>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</si>
  <si>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</si>
  <si>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</si>
  <si>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</si>
  <si>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</si>
  <si>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</si>
  <si>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</si>
  <si>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</si>
  <si>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</si>
  <si>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</si>
  <si>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</si>
  <si>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</si>
  <si>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</si>
  <si>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</si>
  <si>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</si>
  <si>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</si>
  <si>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</si>
  <si>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</si>
  <si>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</si>
  <si>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</si>
  <si>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</si>
  <si>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</si>
  <si>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</si>
  <si>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</si>
  <si>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</si>
  <si>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</si>
  <si>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</si>
  <si>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</si>
  <si>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</si>
  <si>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</si>
  <si>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</si>
  <si>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</si>
  <si>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</si>
  <si>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</si>
  <si>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</si>
  <si>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</si>
  <si>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</si>
  <si>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</si>
  <si>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</si>
  <si>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</si>
  <si>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</si>
  <si>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</si>
  <si>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</si>
  <si>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</si>
  <si>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</si>
  <si>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</si>
  <si>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</si>
  <si>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</si>
  <si>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</si>
  <si>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</si>
  <si>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</si>
  <si>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</si>
  <si>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</si>
  <si>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</si>
  <si>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</si>
  <si>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</si>
  <si>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</si>
  <si>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</si>
  <si>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</si>
  <si>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</si>
  <si>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</si>
  <si>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</si>
  <si>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</si>
  <si>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</si>
  <si>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</si>
  <si>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</si>
  <si>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</si>
  <si>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</si>
  <si>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</si>
  <si>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</si>
  <si>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</si>
  <si>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</si>
  <si>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</si>
  <si>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</si>
  <si>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</si>
  <si>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</si>
  <si>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</si>
  <si>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</si>
  <si>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</si>
  <si>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</si>
  <si>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</si>
  <si>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</si>
  <si>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</si>
  <si>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</si>
  <si>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</si>
  <si>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</si>
  <si>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</si>
  <si>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</si>
  <si>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</si>
  <si>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</si>
  <si>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</si>
  <si>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</si>
  <si>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</si>
  <si>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</si>
  <si>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</si>
  <si>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</si>
  <si>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</si>
  <si>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</si>
  <si>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</si>
  <si>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</si>
  <si>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</si>
  <si>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</si>
  <si>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</si>
  <si>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</si>
  <si>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</si>
  <si>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</si>
  <si>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</si>
  <si>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</si>
  <si>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</si>
  <si>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</si>
  <si>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</si>
  <si>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</si>
  <si>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</si>
  <si>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</si>
  <si>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</si>
  <si>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</si>
  <si>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</si>
  <si>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</si>
  <si>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</si>
  <si>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</si>
  <si>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</si>
  <si>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</si>
  <si>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</si>
  <si>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</si>
  <si>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</si>
  <si>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</si>
  <si>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</si>
  <si>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</si>
  <si>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</si>
  <si>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</si>
  <si>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</si>
  <si>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</si>
  <si>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</si>
  <si>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</si>
  <si>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</si>
  <si>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</si>
  <si>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</si>
  <si>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</si>
  <si>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</si>
  <si>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</si>
  <si>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</si>
  <si>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</si>
  <si>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</si>
  <si>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</si>
  <si>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</si>
  <si>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</si>
  <si>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</si>
  <si>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</si>
  <si>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</si>
  <si>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</si>
  <si>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</si>
  <si>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</si>
  <si>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</si>
  <si>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</si>
  <si>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</si>
  <si>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</si>
  <si>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</si>
  <si>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</si>
  <si>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</si>
  <si>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</si>
  <si>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</si>
  <si>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</si>
  <si>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</si>
  <si>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</si>
  <si>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</si>
  <si>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</si>
  <si>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</si>
  <si>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</si>
  <si>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</si>
  <si>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</si>
  <si>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</si>
  <si>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</si>
  <si>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</si>
  <si>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</si>
  <si>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</si>
  <si>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</si>
  <si>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</si>
  <si>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</si>
  <si>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</si>
  <si>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</si>
  <si>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</si>
  <si>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</si>
  <si>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</si>
  <si>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</si>
  <si>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</si>
  <si>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</si>
  <si>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</si>
  <si>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</si>
  <si>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</si>
  <si>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</si>
  <si>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</si>
  <si>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</si>
  <si>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</si>
  <si>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</si>
  <si>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</si>
  <si>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</si>
  <si>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</si>
  <si>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</si>
  <si>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</si>
  <si>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</si>
  <si>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</si>
  <si>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</si>
  <si>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</si>
  <si>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</si>
  <si>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</si>
  <si>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</si>
  <si>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</si>
  <si>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</si>
  <si>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</si>
  <si>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</si>
  <si>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</si>
  <si>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</si>
  <si>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</si>
  <si>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</si>
  <si>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</si>
  <si>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</si>
  <si>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</si>
  <si>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</si>
  <si>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</si>
  <si>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</si>
  <si>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</si>
  <si>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</si>
  <si>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</si>
  <si>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</si>
  <si>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</si>
  <si>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</si>
  <si>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</si>
  <si>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</si>
  <si>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</si>
  <si>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</si>
  <si>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</si>
  <si>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</si>
  <si>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</si>
  <si>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</si>
  <si>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</si>
  <si>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</si>
  <si>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</si>
  <si>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</si>
  <si>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</si>
  <si>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</si>
  <si>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</si>
  <si>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</si>
  <si>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</si>
  <si>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</si>
  <si>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</si>
  <si>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</si>
  <si>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</si>
  <si>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</si>
  <si>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</si>
  <si>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</si>
  <si>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</si>
  <si>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</si>
  <si>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</si>
  <si>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</si>
  <si>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</si>
  <si>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</si>
  <si>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</si>
  <si>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</si>
  <si>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</si>
  <si>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</si>
  <si>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</si>
  <si>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</si>
  <si>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</si>
  <si>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</si>
  <si>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</si>
  <si>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</si>
  <si>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</si>
  <si>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</si>
  <si>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</si>
  <si>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</si>
  <si>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</si>
  <si>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</si>
  <si>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</si>
  <si>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</si>
  <si>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</si>
  <si>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</si>
  <si>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</si>
  <si>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</si>
  <si>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</si>
  <si>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</si>
  <si>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</si>
  <si>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</si>
  <si>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</si>
  <si>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</si>
  <si>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</si>
  <si>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</si>
  <si>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</si>
  <si>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</si>
  <si>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</si>
  <si>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</si>
  <si>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</si>
  <si>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</si>
  <si>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</si>
  <si>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</si>
  <si>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</si>
  <si>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</si>
  <si>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</si>
  <si>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</si>
  <si>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</si>
  <si>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</si>
  <si>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</si>
  <si>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</si>
  <si>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</si>
  <si>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</si>
  <si>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</si>
  <si>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</si>
  <si>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</si>
  <si>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</si>
  <si>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</si>
  <si>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</si>
  <si>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</si>
  <si>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</si>
  <si>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</si>
  <si>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</si>
  <si>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</si>
  <si>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</si>
  <si>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</si>
  <si>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</si>
  <si>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</si>
  <si>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</si>
  <si>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</si>
  <si>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</si>
  <si>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</si>
  <si>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</si>
  <si>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</si>
  <si>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</si>
  <si>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</si>
  <si>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</si>
  <si>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</si>
  <si>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</si>
  <si>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</si>
  <si>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</si>
  <si>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</si>
  <si>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</si>
  <si>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</si>
  <si>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</si>
  <si>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</si>
  <si>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</si>
  <si>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</si>
  <si>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</si>
  <si>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</si>
  <si>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</si>
  <si>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</si>
  <si>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</si>
  <si>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</si>
  <si>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</si>
  <si>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</si>
  <si>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</si>
  <si>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</si>
  <si>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</si>
  <si>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</si>
  <si>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</si>
  <si>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</si>
  <si>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</si>
  <si>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</si>
  <si>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</si>
  <si>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</si>
  <si>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</si>
  <si>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</si>
  <si>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</si>
  <si>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</si>
  <si>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</si>
  <si>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</si>
  <si>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</si>
  <si>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</si>
  <si>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</si>
  <si>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</si>
  <si>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</si>
  <si>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</si>
  <si>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</si>
  <si>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</si>
  <si>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</si>
  <si>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</si>
  <si>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</si>
  <si>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</si>
  <si>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</si>
  <si>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</si>
  <si>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</si>
  <si>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</si>
  <si>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</si>
  <si>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</si>
  <si>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</si>
  <si>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</si>
  <si>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</si>
  <si>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</si>
  <si>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</si>
  <si>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</si>
  <si>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</si>
  <si>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</si>
  <si>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</si>
  <si>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</si>
  <si>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</si>
  <si>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</si>
  <si>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</si>
  <si>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</si>
  <si>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</si>
  <si>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</si>
  <si>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</si>
  <si>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</si>
  <si>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</si>
  <si>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</si>
  <si>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</si>
  <si>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</si>
  <si>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</si>
  <si>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</si>
  <si>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</si>
  <si>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</si>
  <si>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</si>
  <si>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</si>
  <si>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</si>
  <si>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</si>
  <si>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</si>
  <si>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</si>
  <si>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</si>
  <si>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</si>
  <si>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</si>
  <si>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</si>
  <si>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</si>
  <si>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</si>
  <si>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</si>
  <si>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</si>
  <si>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</si>
  <si>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</si>
  <si>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</si>
  <si>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</si>
  <si>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</si>
  <si>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</si>
  <si>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</si>
  <si>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</si>
  <si>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</si>
  <si>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</si>
  <si>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</si>
  <si>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</si>
  <si>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</si>
  <si>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</si>
  <si>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</si>
  <si>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</si>
  <si>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</si>
  <si>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</si>
  <si>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</si>
  <si>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</si>
  <si>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</si>
  <si>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</si>
  <si>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</si>
  <si>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</si>
  <si>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</si>
  <si>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</si>
  <si>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</si>
  <si>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</si>
  <si>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</si>
  <si>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</si>
  <si>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</si>
  <si>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</si>
  <si>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</si>
  <si>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</si>
  <si>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</si>
  <si>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</si>
  <si>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</si>
  <si>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</si>
  <si>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</si>
  <si>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</si>
  <si>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</si>
  <si>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</si>
  <si>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</si>
  <si>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</si>
  <si>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</si>
  <si>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</si>
  <si>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</si>
  <si>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</si>
  <si>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</si>
  <si>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</si>
  <si>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</si>
  <si>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</si>
  <si>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</si>
  <si>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</si>
  <si>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</si>
  <si>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</si>
  <si>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</si>
  <si>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</si>
  <si>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</si>
  <si>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</si>
  <si>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</si>
  <si>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</si>
  <si>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</si>
  <si>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</si>
  <si>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</si>
  <si>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</si>
  <si>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</si>
  <si>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</si>
  <si>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</si>
  <si>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</si>
  <si>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</si>
  <si>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</si>
  <si>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</si>
  <si>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</si>
  <si>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</si>
  <si>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</si>
  <si>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</si>
  <si>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</si>
  <si>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</si>
  <si>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</si>
  <si>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</si>
  <si>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</si>
  <si>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</si>
  <si>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</si>
  <si>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</si>
  <si>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</si>
  <si>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</si>
  <si>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</si>
  <si>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</si>
  <si>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</si>
  <si>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</si>
  <si>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</si>
  <si>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</si>
  <si>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</si>
  <si>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</si>
  <si>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</si>
  <si>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</si>
  <si>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</si>
  <si>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</si>
  <si>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</si>
  <si>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</si>
  <si>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</si>
  <si>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</si>
  <si>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</si>
  <si>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</si>
  <si>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</si>
  <si>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</si>
  <si>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</si>
  <si>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</si>
  <si>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</si>
  <si>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</si>
  <si>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</si>
  <si>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</si>
  <si>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</si>
  <si>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</si>
  <si>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</si>
  <si>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</si>
  <si>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</si>
  <si>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</si>
  <si>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</si>
  <si>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</si>
  <si>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</si>
  <si>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</si>
  <si>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</si>
  <si>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</si>
  <si>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</si>
  <si>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</si>
  <si>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</si>
  <si>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</si>
  <si>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</si>
  <si>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</si>
  <si>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</si>
  <si>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</si>
  <si>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</si>
  <si>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</si>
  <si>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</si>
  <si>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</si>
  <si>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</si>
  <si>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</si>
  <si>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</si>
  <si>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</si>
  <si>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</si>
  <si>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</si>
  <si>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</si>
  <si>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</si>
  <si>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</si>
  <si>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</si>
  <si>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</si>
  <si>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</si>
  <si>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</si>
  <si>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</si>
  <si>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</si>
  <si>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</si>
  <si>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</si>
  <si>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</si>
  <si>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</si>
  <si>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</si>
  <si>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</si>
  <si>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</si>
  <si>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</si>
  <si>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</si>
  <si>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</si>
  <si>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</si>
  <si>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</si>
  <si>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</si>
  <si>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</si>
  <si>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</si>
  <si>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</si>
  <si>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</si>
  <si>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</si>
  <si>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</si>
  <si>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</si>
  <si>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</si>
  <si>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</si>
  <si>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</si>
  <si>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</si>
  <si>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</si>
  <si>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</si>
  <si>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</si>
  <si>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</si>
  <si>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</si>
  <si>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</si>
  <si>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</si>
  <si>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</si>
  <si>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</si>
  <si>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</si>
  <si>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</si>
  <si>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</si>
  <si>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</si>
  <si>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</si>
  <si>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</si>
  <si>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</si>
  <si>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</si>
  <si>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</si>
  <si>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</si>
  <si>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</si>
  <si>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</si>
  <si>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</si>
  <si>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</si>
  <si>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</si>
  <si>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</si>
  <si>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</si>
  <si>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</si>
  <si>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</si>
  <si>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</si>
  <si>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</si>
  <si>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</si>
  <si>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</si>
  <si>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</si>
  <si>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</si>
  <si>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</si>
  <si>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</si>
  <si>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</si>
  <si>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</si>
  <si>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</si>
  <si>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</si>
  <si>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</si>
  <si>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</si>
  <si>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</si>
  <si>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</si>
  <si>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</si>
  <si>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</si>
  <si>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</si>
  <si>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</si>
  <si>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</si>
  <si>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</si>
  <si>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</si>
  <si>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</si>
  <si>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</si>
  <si>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</si>
  <si>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</si>
  <si>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</si>
  <si>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</si>
  <si>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</si>
  <si>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</si>
  <si>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</si>
  <si>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</si>
  <si>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</si>
  <si>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</si>
  <si>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</si>
  <si>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</si>
  <si>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</si>
  <si>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</si>
  <si>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</si>
  <si>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</si>
  <si>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</si>
  <si>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</si>
  <si>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</si>
  <si>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</si>
  <si>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</si>
  <si>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</si>
  <si>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</si>
  <si>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</si>
  <si>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</si>
  <si>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</si>
  <si>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</si>
  <si>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</si>
  <si>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</si>
  <si>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</si>
  <si>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</si>
  <si>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</si>
  <si>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</si>
  <si>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</si>
  <si>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</si>
  <si>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</si>
  <si>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</si>
  <si>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</si>
  <si>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</si>
  <si>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</si>
  <si>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</si>
  <si>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</si>
  <si>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</si>
  <si>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</si>
  <si>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</si>
  <si>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</si>
  <si>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</si>
  <si>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</si>
  <si>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</si>
  <si>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</si>
  <si>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</si>
  <si>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</si>
  <si>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</si>
  <si>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</si>
  <si>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</si>
  <si>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</si>
  <si>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</si>
  <si>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</si>
  <si>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</si>
  <si>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</si>
  <si>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</si>
  <si>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</si>
  <si>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</si>
  <si>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</si>
  <si>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</si>
  <si>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</si>
  <si>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</si>
  <si>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</si>
  <si>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</si>
  <si>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</si>
  <si>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</si>
  <si>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</si>
  <si>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</si>
  <si>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</si>
  <si>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</si>
  <si>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</si>
  <si>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</si>
  <si>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</si>
  <si>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</si>
  <si>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</si>
  <si>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</si>
  <si>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</si>
  <si>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</si>
  <si>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</si>
  <si>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</si>
  <si>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</si>
  <si>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</si>
  <si>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</si>
  <si>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</si>
  <si>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</si>
  <si>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</si>
  <si>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</si>
  <si>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</si>
  <si>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</si>
  <si>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</si>
  <si>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</si>
  <si>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</si>
  <si>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</si>
  <si>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</si>
  <si>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</si>
  <si>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</si>
  <si>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</si>
  <si>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</si>
  <si>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</si>
  <si>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</si>
  <si>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</si>
  <si>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</si>
  <si>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</si>
  <si>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</si>
  <si>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</si>
  <si>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</si>
  <si>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</si>
  <si>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</si>
  <si>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</si>
  <si>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</si>
  <si>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</si>
  <si>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</si>
  <si>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</si>
  <si>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</si>
  <si>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</si>
  <si>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</si>
  <si>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</si>
  <si>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</si>
  <si>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</si>
  <si>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</si>
  <si>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</si>
  <si>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</si>
  <si>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</si>
  <si>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</si>
  <si>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</si>
  <si>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</si>
  <si>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</si>
  <si>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</si>
  <si>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</si>
  <si>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</si>
  <si>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</si>
  <si>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</si>
  <si>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</si>
  <si>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</si>
  <si>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</si>
  <si>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</si>
  <si>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</si>
  <si>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</si>
  <si>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</si>
  <si>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</si>
  <si>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</si>
  <si>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</si>
  <si>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</si>
  <si>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</si>
  <si>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</si>
  <si>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</si>
  <si>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</si>
  <si>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</si>
  <si>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</si>
  <si>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</si>
  <si>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</si>
  <si>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</si>
  <si>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</si>
  <si>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</si>
  <si>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</si>
  <si>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</si>
  <si>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</si>
  <si>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</si>
  <si>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</si>
  <si>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</si>
  <si>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</si>
  <si>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</si>
  <si>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</si>
  <si>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</si>
  <si>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</si>
  <si>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</si>
  <si>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</si>
  <si>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</si>
  <si>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</si>
  <si>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</si>
  <si>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</si>
  <si>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</si>
  <si>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</si>
  <si>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</si>
  <si>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</si>
  <si>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</si>
  <si>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</si>
  <si>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</si>
  <si>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</si>
  <si>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</si>
  <si>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</si>
  <si>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</si>
  <si>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</si>
  <si>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</si>
  <si>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</si>
  <si>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</si>
  <si>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</si>
  <si>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</si>
  <si>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</si>
  <si>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</si>
  <si>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</si>
  <si>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</si>
  <si>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</si>
  <si>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</si>
  <si>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</si>
  <si>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</si>
  <si>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</si>
  <si>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</si>
  <si>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</si>
  <si>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</si>
  <si>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</si>
  <si>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</si>
  <si>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</si>
  <si>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</si>
  <si>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</si>
  <si>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</si>
  <si>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</si>
  <si>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</si>
  <si>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</si>
  <si>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</si>
  <si>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</si>
  <si>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</si>
  <si>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</si>
  <si>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</si>
  <si>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</si>
  <si>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</si>
  <si>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</si>
  <si>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</si>
  <si>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</si>
  <si>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</si>
  <si>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</si>
  <si>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</si>
  <si>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</si>
  <si>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</si>
  <si>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</si>
  <si>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</si>
  <si>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</si>
  <si>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</si>
  <si>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</si>
  <si>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</si>
  <si>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</si>
  <si>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</si>
  <si>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</si>
  <si>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</si>
  <si>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</si>
  <si>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</si>
  <si>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</si>
  <si>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</si>
  <si>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</si>
  <si>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</si>
  <si>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</si>
  <si>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</si>
  <si>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</si>
  <si>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</si>
  <si>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</si>
  <si>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</si>
  <si>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</si>
  <si>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</si>
  <si>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</si>
  <si>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</si>
  <si>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</si>
  <si>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</si>
  <si>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</si>
  <si>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</si>
  <si>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</si>
  <si>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</si>
  <si>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</si>
  <si>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</si>
  <si>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</si>
  <si>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</si>
  <si>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</si>
  <si>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</si>
  <si>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</si>
  <si>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</si>
  <si>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</si>
  <si>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</si>
  <si>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</si>
  <si>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</si>
  <si>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</si>
  <si>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</si>
  <si>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</si>
  <si>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</si>
  <si>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</si>
  <si>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</si>
  <si>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</si>
  <si>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</si>
  <si>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</si>
  <si>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</si>
  <si>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</si>
  <si>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</si>
  <si>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</si>
  <si>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</si>
  <si>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</si>
  <si>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</si>
  <si>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</si>
  <si>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</si>
  <si>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</si>
  <si>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</si>
  <si>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</si>
  <si>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</si>
  <si>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</si>
  <si>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</si>
  <si>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</si>
  <si>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</si>
  <si>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</si>
  <si>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</si>
  <si>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</si>
  <si>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</si>
  <si>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</si>
  <si>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</si>
  <si>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</si>
  <si>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</si>
  <si>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</si>
  <si>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</si>
  <si>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</si>
  <si>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</si>
  <si>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</si>
  <si>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</si>
  <si>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</si>
  <si>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</si>
  <si>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</si>
  <si>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</si>
  <si>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</si>
  <si>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</si>
  <si>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</si>
  <si>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</si>
  <si>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</si>
  <si>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</si>
  <si>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</si>
  <si>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</si>
  <si>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</si>
  <si>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</si>
  <si>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</si>
  <si>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</si>
  <si>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</si>
  <si>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</si>
  <si>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</si>
  <si>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</si>
  <si>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</si>
  <si>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</si>
  <si>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</si>
  <si>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</si>
  <si>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</si>
  <si>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</si>
  <si>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</si>
  <si>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</si>
  <si>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</si>
  <si>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</si>
  <si>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</si>
  <si>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</si>
  <si>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</si>
  <si>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</si>
  <si>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</si>
  <si>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</si>
  <si>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</si>
  <si>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</si>
  <si>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</si>
  <si>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</si>
  <si>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</si>
  <si>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</si>
  <si>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</si>
  <si>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</si>
  <si>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</si>
  <si>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</si>
  <si>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</si>
  <si>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</si>
  <si>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</si>
  <si>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</si>
  <si>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</si>
  <si>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</si>
  <si>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</si>
  <si>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</si>
  <si>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</si>
  <si>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</si>
  <si>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</si>
  <si>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</si>
  <si>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</si>
  <si>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</si>
  <si>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</si>
  <si>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</si>
  <si>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</si>
  <si>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</si>
  <si>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</si>
  <si>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</si>
  <si>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</si>
  <si>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</si>
  <si>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</si>
  <si>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</si>
  <si>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</si>
  <si>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</si>
  <si>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</si>
  <si>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</si>
  <si>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</si>
  <si>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</si>
  <si>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</si>
  <si>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</si>
  <si>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</si>
  <si>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</si>
  <si>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</si>
  <si>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</si>
  <si>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</si>
  <si>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</si>
  <si>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</si>
  <si>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</si>
  <si>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</si>
  <si>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</si>
  <si>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</si>
  <si>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</si>
  <si>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</si>
  <si>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</si>
  <si>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</si>
  <si>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</si>
  <si>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</si>
  <si>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</si>
  <si>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</si>
  <si>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</si>
  <si>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</si>
  <si>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</si>
  <si>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</si>
  <si>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</si>
  <si>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</si>
  <si>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</si>
  <si>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</si>
  <si>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</si>
  <si>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</si>
  <si>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</si>
  <si>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</si>
  <si>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</si>
  <si>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</si>
  <si>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</si>
  <si>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</si>
  <si>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</si>
  <si>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</si>
  <si>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</si>
  <si>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</si>
  <si>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</si>
  <si>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</si>
  <si>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</si>
  <si>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</si>
  <si>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</si>
  <si>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</si>
  <si>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</si>
  <si>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</si>
  <si>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</si>
  <si>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</si>
  <si>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</si>
  <si>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</si>
  <si>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</si>
  <si>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</si>
  <si>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</si>
  <si>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</si>
  <si>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</si>
  <si>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</si>
  <si>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</si>
  <si>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</si>
  <si>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</si>
  <si>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</si>
  <si>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</si>
  <si>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</si>
  <si>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</si>
  <si>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</si>
  <si>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</si>
  <si>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</si>
  <si>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</si>
  <si>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</si>
  <si>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</si>
  <si>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</si>
  <si>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</si>
  <si>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</si>
  <si>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</si>
  <si>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</si>
  <si>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</si>
  <si>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</si>
  <si>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</si>
  <si>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</si>
  <si>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</si>
  <si>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</si>
  <si>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</si>
  <si>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</si>
  <si>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</si>
  <si>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</si>
  <si>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</si>
  <si>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</si>
  <si>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</si>
  <si>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</si>
  <si>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</si>
  <si>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</si>
  <si>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</si>
  <si>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</si>
  <si>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</si>
  <si>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</si>
  <si>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</si>
  <si>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</si>
  <si>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</si>
  <si>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</si>
  <si>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</si>
  <si>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</si>
  <si>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</si>
  <si>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</si>
  <si>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</si>
  <si>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</si>
  <si>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</si>
  <si>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</si>
  <si>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</si>
  <si>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</si>
  <si>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</si>
  <si>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</si>
  <si>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</si>
  <si>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</si>
  <si>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</si>
  <si>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</si>
  <si>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</si>
  <si>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</si>
  <si>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</si>
  <si>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</si>
  <si>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</si>
  <si>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</si>
  <si>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</si>
  <si>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</si>
  <si>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</si>
  <si>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</si>
  <si>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</si>
  <si>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</si>
  <si>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</si>
  <si>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</si>
  <si>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</si>
  <si>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</si>
  <si>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</si>
  <si>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</si>
  <si>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</si>
  <si>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</si>
  <si>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</si>
  <si>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</si>
  <si>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</si>
  <si>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</si>
  <si>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</si>
  <si>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</si>
  <si>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</si>
  <si>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</si>
  <si>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</si>
  <si>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</si>
  <si>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</si>
  <si>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</si>
  <si>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</si>
  <si>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</si>
  <si>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</si>
  <si>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</si>
  <si>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</si>
  <si>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</si>
  <si>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</si>
  <si>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</si>
  <si>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</si>
  <si>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</si>
  <si>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</si>
  <si>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</si>
  <si>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</si>
  <si>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</si>
  <si>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</si>
  <si>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</si>
  <si>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</si>
  <si>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</si>
  <si>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</si>
  <si>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</si>
  <si>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</si>
  <si>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</si>
  <si>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</si>
  <si>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</si>
  <si>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</si>
  <si>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</si>
  <si>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</si>
  <si>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</si>
  <si>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</si>
  <si>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</si>
  <si>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</si>
  <si>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</si>
  <si>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</si>
  <si>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</si>
  <si>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</si>
  <si>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</si>
  <si>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</si>
  <si>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</si>
  <si>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</si>
  <si>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</si>
  <si>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</si>
  <si>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</si>
  <si>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</si>
  <si>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</si>
  <si>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</si>
  <si>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</si>
  <si>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</si>
  <si>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</si>
  <si>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</si>
  <si>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</si>
  <si>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</si>
  <si>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</si>
  <si>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</si>
  <si>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</si>
  <si>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</si>
  <si>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</si>
  <si>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</si>
  <si>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</si>
  <si>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</si>
  <si>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</si>
  <si>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</si>
  <si>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</si>
  <si>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</si>
  <si>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</si>
  <si>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</si>
  <si>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</si>
  <si>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</si>
  <si>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</si>
  <si>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</si>
  <si>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</si>
  <si>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</si>
  <si>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</si>
  <si>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</si>
  <si>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</si>
  <si>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</si>
  <si>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</si>
  <si>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</si>
  <si>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</si>
  <si>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</si>
  <si>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</si>
  <si>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</si>
  <si>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</si>
  <si>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</si>
  <si>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</si>
  <si>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</si>
  <si>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</si>
  <si>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</si>
  <si>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</si>
  <si>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</si>
  <si>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</si>
  <si>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</si>
  <si>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</si>
  <si>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</si>
  <si>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</si>
  <si>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</si>
  <si>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</si>
  <si>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</si>
  <si>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</si>
  <si>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</si>
  <si>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</si>
  <si>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</si>
  <si>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</si>
  <si>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</si>
  <si>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</si>
  <si>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</si>
  <si>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</si>
  <si>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</si>
  <si>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</si>
  <si>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</si>
  <si>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</si>
  <si>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</si>
  <si>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</si>
  <si>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</si>
  <si>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</si>
  <si>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</si>
  <si>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</si>
  <si>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</si>
  <si>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</si>
  <si>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</si>
  <si>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</si>
  <si>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</si>
  <si>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</si>
  <si>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</si>
  <si>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</si>
  <si>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</si>
  <si>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</si>
  <si>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</si>
  <si>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</si>
  <si>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</si>
  <si>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</si>
  <si>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</si>
  <si>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</si>
  <si>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</si>
  <si>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</si>
  <si>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</si>
  <si>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</si>
  <si>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</si>
  <si>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</si>
  <si>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</si>
  <si>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</si>
  <si>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</si>
  <si>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</si>
  <si>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</si>
  <si>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</si>
  <si>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</si>
  <si>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</si>
  <si>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</si>
  <si>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</si>
  <si>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</si>
  <si>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</si>
  <si>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</si>
  <si>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</si>
  <si>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</si>
  <si>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</si>
  <si>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</si>
  <si>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</si>
  <si>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</si>
  <si>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</si>
  <si>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</si>
  <si>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</si>
  <si>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</si>
  <si>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</si>
  <si>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</si>
  <si>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</si>
  <si>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</si>
  <si>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</si>
  <si>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</si>
  <si>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</si>
  <si>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</si>
  <si>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</si>
  <si>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</si>
  <si>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</si>
  <si>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</si>
  <si>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</si>
  <si>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</si>
  <si>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</si>
  <si>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</si>
  <si>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</si>
  <si>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</si>
  <si>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</si>
  <si>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</si>
  <si>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</si>
  <si>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</si>
  <si>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</si>
  <si>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</si>
  <si>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</si>
  <si>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</si>
  <si>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</si>
  <si>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</si>
  <si>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</si>
  <si>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</si>
  <si>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</si>
  <si>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</si>
  <si>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</si>
  <si>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</si>
  <si>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</si>
  <si>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</si>
  <si>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</si>
  <si>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</si>
  <si>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</si>
  <si>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</si>
  <si>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</si>
  <si>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</si>
  <si>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</si>
  <si>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</si>
  <si>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</si>
  <si>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</si>
  <si>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</si>
  <si>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</si>
  <si>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</si>
  <si>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</si>
  <si>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</si>
  <si>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</si>
  <si>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</si>
  <si>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</si>
  <si>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</si>
  <si>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</si>
  <si>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</si>
  <si>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</si>
  <si>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</si>
  <si>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</si>
  <si>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</si>
  <si>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</si>
  <si>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</si>
  <si>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</si>
  <si>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</si>
  <si>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</si>
  <si>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</si>
  <si>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</si>
  <si>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</si>
  <si>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</si>
  <si>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</si>
  <si>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</si>
  <si>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</si>
  <si>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</si>
  <si>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</si>
  <si>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</si>
  <si>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</si>
  <si>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</si>
  <si>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</si>
  <si>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</si>
  <si>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</si>
  <si>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</si>
  <si>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</si>
  <si>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</si>
  <si>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</si>
  <si>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</si>
  <si>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</si>
  <si>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</si>
  <si>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</si>
  <si>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</si>
  <si>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</si>
  <si>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</si>
  <si>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</si>
  <si>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</si>
  <si>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</si>
  <si>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</si>
  <si>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</si>
  <si>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</si>
  <si>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</si>
  <si>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</si>
  <si>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</si>
  <si>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</si>
  <si>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</si>
  <si>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</si>
  <si>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</si>
  <si>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</si>
  <si>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</si>
  <si>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</si>
  <si>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</si>
  <si>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</si>
  <si>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</si>
  <si>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</si>
  <si>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</si>
  <si>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</si>
  <si>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</si>
  <si>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</si>
  <si>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</si>
  <si>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</si>
  <si>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</si>
  <si>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</si>
  <si>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</si>
  <si>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</si>
  <si>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</si>
  <si>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</si>
  <si>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</si>
  <si>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</si>
  <si>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</si>
  <si>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</si>
  <si>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</si>
  <si>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</si>
  <si>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</si>
  <si>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</si>
  <si>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</si>
  <si>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</si>
  <si>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</si>
  <si>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</si>
  <si>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</si>
  <si>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</si>
  <si>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</si>
  <si>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</si>
  <si>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</si>
  <si>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</si>
  <si>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</si>
  <si>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</si>
  <si>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</si>
  <si>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</si>
  <si>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</si>
  <si>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</si>
  <si>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</si>
  <si>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</si>
  <si>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</si>
  <si>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</si>
  <si>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</si>
  <si>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</si>
  <si>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</si>
  <si>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</si>
  <si>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</si>
  <si>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</si>
  <si>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</si>
  <si>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</si>
  <si>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</si>
  <si>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</si>
  <si>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</si>
  <si>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</si>
  <si>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</si>
  <si>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</si>
  <si>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</si>
  <si>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</si>
  <si>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</si>
  <si>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</si>
  <si>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</si>
  <si>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</si>
  <si>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</si>
  <si>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</si>
  <si>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</si>
  <si>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</si>
  <si>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</si>
  <si>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</si>
  <si>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</si>
  <si>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</si>
  <si>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</si>
  <si>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</si>
  <si>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</si>
  <si>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</si>
  <si>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</si>
  <si>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</si>
  <si>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</si>
  <si>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</si>
  <si>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</si>
  <si>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</si>
  <si>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</si>
  <si>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</si>
  <si>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</si>
  <si>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</si>
  <si>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</si>
  <si>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</si>
  <si>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</si>
  <si>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</si>
  <si>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</si>
  <si>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</si>
  <si>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</si>
  <si>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</si>
  <si>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</si>
  <si>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</si>
  <si>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</si>
  <si>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</si>
  <si>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</si>
  <si>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</si>
  <si>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</si>
  <si>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</si>
  <si>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</si>
  <si>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</si>
  <si>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</si>
  <si>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</si>
  <si>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</si>
  <si>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</si>
  <si>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</si>
  <si>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</si>
  <si>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</si>
  <si>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</si>
  <si>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</si>
  <si>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</si>
  <si>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</si>
  <si>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</si>
  <si>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</si>
  <si>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</si>
  <si>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</si>
  <si>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</si>
  <si>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</si>
  <si>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</si>
  <si>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</si>
  <si>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</si>
  <si>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</si>
  <si>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</si>
  <si>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</si>
  <si>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</si>
  <si>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</si>
  <si>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</si>
  <si>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</si>
  <si>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</si>
  <si>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</si>
  <si>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</si>
  <si>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</si>
  <si>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</si>
  <si>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</si>
  <si>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</si>
  <si>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</si>
  <si>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</si>
  <si>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</si>
  <si>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</si>
  <si>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</si>
  <si>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</si>
  <si>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</si>
  <si>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</si>
  <si>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</si>
  <si>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</si>
  <si>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</si>
  <si>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</si>
  <si>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</si>
  <si>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</si>
  <si>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</si>
  <si>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</si>
  <si>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</si>
  <si>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</si>
  <si>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</si>
  <si>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</si>
  <si>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</si>
  <si>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</si>
  <si>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</si>
  <si>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</si>
  <si>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</si>
  <si>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</si>
  <si>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</si>
  <si>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</si>
  <si>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</si>
  <si>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</si>
  <si>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</si>
  <si>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</si>
  <si>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</si>
  <si>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</si>
  <si>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</si>
  <si>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</si>
  <si>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</si>
  <si>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</si>
  <si>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</si>
  <si>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</si>
  <si>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</si>
  <si>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</si>
  <si>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</si>
  <si>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</si>
  <si>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</si>
  <si>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</si>
  <si>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</si>
  <si>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</si>
  <si>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</si>
  <si>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</si>
  <si>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</si>
  <si>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</si>
  <si>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</si>
  <si>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</si>
  <si>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</si>
  <si>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</si>
  <si>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</si>
  <si>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</si>
  <si>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</si>
  <si>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</si>
  <si>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</si>
  <si>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</si>
  <si>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</si>
  <si>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</si>
  <si>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</si>
  <si>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</si>
  <si>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</si>
  <si>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</si>
  <si>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</si>
  <si>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</si>
  <si>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</si>
  <si>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</si>
  <si>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</si>
  <si>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</si>
  <si>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</si>
  <si>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</si>
  <si>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</si>
  <si>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</si>
  <si>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</si>
  <si>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</si>
  <si>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</si>
  <si>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</si>
  <si>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</si>
  <si>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</si>
  <si>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</si>
  <si>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</si>
  <si>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</si>
  <si>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</si>
  <si>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</si>
  <si>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</si>
  <si>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</si>
  <si>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</si>
  <si>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</si>
  <si>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</si>
  <si>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</si>
  <si>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</si>
  <si>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</si>
  <si>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</si>
  <si>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</si>
  <si>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</si>
  <si>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</si>
  <si>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</si>
  <si>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</si>
  <si>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</si>
  <si>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</si>
  <si>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</si>
  <si>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</si>
  <si>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</si>
  <si>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</si>
  <si>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</si>
  <si>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</si>
  <si>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</si>
  <si>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</si>
  <si>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</si>
  <si>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</si>
  <si>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</si>
  <si>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</si>
  <si>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</si>
  <si>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</si>
  <si>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</si>
  <si>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</si>
  <si>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</si>
  <si>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</si>
  <si>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</si>
  <si>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</si>
  <si>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</si>
  <si>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</si>
  <si>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</si>
  <si>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</si>
  <si>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</si>
  <si>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</si>
  <si>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</si>
  <si>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</si>
  <si>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</si>
  <si>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</si>
  <si>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</si>
  <si>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</si>
  <si>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</si>
  <si>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</si>
  <si>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</si>
  <si>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</si>
  <si>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</si>
  <si>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</si>
  <si>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</si>
  <si>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</si>
  <si>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</si>
  <si>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</si>
  <si>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</si>
  <si>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</si>
  <si>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</si>
  <si>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</si>
  <si>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</si>
  <si>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</si>
  <si>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</si>
  <si>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</si>
  <si>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</si>
  <si>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</si>
  <si>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</si>
  <si>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</si>
  <si>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</si>
  <si>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</si>
  <si>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</si>
  <si>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</si>
  <si>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</si>
  <si>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</si>
  <si>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</si>
  <si>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</si>
  <si>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</si>
  <si>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</si>
  <si>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</si>
  <si>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</si>
  <si>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</si>
  <si>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</si>
  <si>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</si>
  <si>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</si>
  <si>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</si>
  <si>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</si>
  <si>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</si>
  <si>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</si>
  <si>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</si>
  <si>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</si>
  <si>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</si>
  <si>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</si>
  <si>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</si>
  <si>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</si>
  <si>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</si>
  <si>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</si>
  <si>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</si>
  <si>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</si>
  <si>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</si>
  <si>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</si>
  <si>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</si>
  <si>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</si>
  <si>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</si>
  <si>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</si>
  <si>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</si>
  <si>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</si>
  <si>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</si>
  <si>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</si>
  <si>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</si>
  <si>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</si>
  <si>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</si>
  <si>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</si>
  <si>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</si>
  <si>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</si>
  <si>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</si>
  <si>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</si>
  <si>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</si>
  <si>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</si>
  <si>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</si>
  <si>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</si>
  <si>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</si>
  <si>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</si>
  <si>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</si>
  <si>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</si>
  <si>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</si>
  <si>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</si>
  <si>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</si>
  <si>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</si>
  <si>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</si>
  <si>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</si>
  <si>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</si>
  <si>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</si>
  <si>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</si>
  <si>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</si>
  <si>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</si>
  <si>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</si>
  <si>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</si>
  <si>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</si>
  <si>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</si>
  <si>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</si>
  <si>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</si>
  <si>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</si>
  <si>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</si>
  <si>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</si>
  <si>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</si>
  <si>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</si>
  <si>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</si>
  <si>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</si>
  <si>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</si>
  <si>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</si>
  <si>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</si>
  <si>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</si>
  <si>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</si>
  <si>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</si>
  <si>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</si>
  <si>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</si>
  <si>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</si>
  <si>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</si>
  <si>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</si>
  <si>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</si>
  <si>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</si>
  <si>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</si>
  <si>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</si>
  <si>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</si>
  <si>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</si>
  <si>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</si>
  <si>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</si>
  <si>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</si>
  <si>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</si>
  <si>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</si>
  <si>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</si>
  <si>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</si>
  <si>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</si>
  <si>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</si>
  <si>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</si>
  <si>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</si>
  <si>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</si>
  <si>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</si>
  <si>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</si>
  <si>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</si>
  <si>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</si>
  <si>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</si>
  <si>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</si>
  <si>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</si>
  <si>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</si>
  <si>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</si>
  <si>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</si>
  <si>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</si>
  <si>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</si>
  <si>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</si>
  <si>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</si>
  <si>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</si>
  <si>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</si>
  <si>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</si>
  <si>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</si>
  <si>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</si>
  <si>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</si>
  <si>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</si>
  <si>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</si>
  <si>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</si>
  <si>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</si>
  <si>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</si>
  <si>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</si>
  <si>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</si>
  <si>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</si>
  <si>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</si>
  <si>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</si>
  <si>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</si>
  <si>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</si>
  <si>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</si>
  <si>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</si>
  <si>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</si>
  <si>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</si>
  <si>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</si>
  <si>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</si>
  <si>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</si>
  <si>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</si>
  <si>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</si>
  <si>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</si>
  <si>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</si>
  <si>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</si>
  <si>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</si>
  <si>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</si>
  <si>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</si>
  <si>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</si>
  <si>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</si>
  <si>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</si>
  <si>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</si>
  <si>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</si>
  <si>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</si>
  <si>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</si>
  <si>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</si>
  <si>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</si>
  <si>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</si>
  <si>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</si>
  <si>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</si>
  <si>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</si>
  <si>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</si>
  <si>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</si>
  <si>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</si>
  <si>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</si>
  <si>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</si>
  <si>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</si>
  <si>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</si>
  <si>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</si>
  <si>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</si>
  <si>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</si>
  <si>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</si>
  <si>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</si>
  <si>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</si>
  <si>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</si>
  <si>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</si>
  <si>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</si>
  <si>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</si>
  <si>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</si>
  <si>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</si>
  <si>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</si>
  <si>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</si>
  <si>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</si>
  <si>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</si>
  <si>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</si>
  <si>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</si>
  <si>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</si>
  <si>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</si>
  <si>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</si>
  <si>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</si>
  <si>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</si>
  <si>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</si>
  <si>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</si>
  <si>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</si>
  <si>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</si>
  <si>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</si>
  <si>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</si>
  <si>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</si>
  <si>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</si>
  <si>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</si>
  <si>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</si>
  <si>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</si>
  <si>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</si>
  <si>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</si>
  <si>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</si>
  <si>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</si>
  <si>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</si>
  <si>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</si>
  <si>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</si>
  <si>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</si>
  <si>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</si>
  <si>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</si>
  <si>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</si>
  <si>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</si>
  <si>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</si>
  <si>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</si>
  <si>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</si>
  <si>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</si>
  <si>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</si>
  <si>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</si>
  <si>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</si>
  <si>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</si>
  <si>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</si>
  <si>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</si>
  <si>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</si>
  <si>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</si>
  <si>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</si>
  <si>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</si>
  <si>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</si>
  <si>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</si>
  <si>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</si>
  <si>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</si>
  <si>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</si>
  <si>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</si>
  <si>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</si>
  <si>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</si>
  <si>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</si>
  <si>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</si>
  <si>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</si>
  <si>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</si>
  <si>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</si>
  <si>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</si>
  <si>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</si>
  <si>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</si>
  <si>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</si>
  <si>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</si>
  <si>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</si>
  <si>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</si>
  <si>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</si>
  <si>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</si>
  <si>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</si>
  <si>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</si>
  <si>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</si>
  <si>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</si>
  <si>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</si>
  <si>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</si>
  <si>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</si>
  <si>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</si>
  <si>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</si>
  <si>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</si>
  <si>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</si>
  <si>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</si>
  <si>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</si>
  <si>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</si>
  <si>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</si>
  <si>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</si>
  <si>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</si>
  <si>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</si>
  <si>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</si>
  <si>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</si>
  <si>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</si>
  <si>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</si>
  <si>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</si>
  <si>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</si>
  <si>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</si>
  <si>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</si>
  <si>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</si>
  <si>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</si>
  <si>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</si>
  <si>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</si>
  <si>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</si>
  <si>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</si>
  <si>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</si>
  <si>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</si>
  <si>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</si>
  <si>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</si>
  <si>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</si>
  <si>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</si>
  <si>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</si>
  <si>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</si>
  <si>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</si>
  <si>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</si>
  <si>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</si>
  <si>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</si>
  <si>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</si>
  <si>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</si>
  <si>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</si>
  <si>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</si>
  <si>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</si>
  <si>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</si>
  <si>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</si>
  <si>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</si>
  <si>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</si>
  <si>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</si>
  <si>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</si>
  <si>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</si>
  <si>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</si>
  <si>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</si>
  <si>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</si>
  <si>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</si>
  <si>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</si>
  <si>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</si>
  <si>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</si>
  <si>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</si>
  <si>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</si>
  <si>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</si>
  <si>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</si>
  <si>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</si>
  <si>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</si>
  <si>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</si>
  <si>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</si>
  <si>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</si>
  <si>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</si>
  <si>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</si>
  <si>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</si>
  <si>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</si>
  <si>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</si>
  <si>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</si>
  <si>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</si>
  <si>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</si>
  <si>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</si>
  <si>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</si>
  <si>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</si>
  <si>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</si>
  <si>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</si>
  <si>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</si>
  <si>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</si>
  <si>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</si>
  <si>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</si>
  <si>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</si>
  <si>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</si>
  <si>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</si>
  <si>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</si>
  <si>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</si>
  <si>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</si>
  <si>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</si>
  <si>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</si>
  <si>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</si>
  <si>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</si>
  <si>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</si>
  <si>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</si>
  <si>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</si>
  <si>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</si>
  <si>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</si>
  <si>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</si>
  <si>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</si>
  <si>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</si>
  <si>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</si>
  <si>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</si>
  <si>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</si>
  <si>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</si>
  <si>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</si>
  <si>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</si>
  <si>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</si>
  <si>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</si>
  <si>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</si>
  <si>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</si>
  <si>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</si>
  <si>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</si>
  <si>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</si>
  <si>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</si>
  <si>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</si>
  <si>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</si>
  <si>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</si>
  <si>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</si>
  <si>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</si>
  <si>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</si>
  <si>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</si>
  <si>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</si>
  <si>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</si>
  <si>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</si>
  <si>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</si>
  <si>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</si>
  <si>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</si>
  <si>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</si>
  <si>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</si>
  <si>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</si>
  <si>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</si>
  <si>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</si>
  <si>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</si>
  <si>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</si>
  <si>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</si>
  <si>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</si>
  <si>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</si>
  <si>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</si>
  <si>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</si>
  <si>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</si>
  <si>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</si>
  <si>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</si>
  <si>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</si>
  <si>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</si>
  <si>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</si>
  <si>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</si>
  <si>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</si>
  <si>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</si>
  <si>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</si>
  <si>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</si>
  <si>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</si>
  <si>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</si>
  <si>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</si>
  <si>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</si>
  <si>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</si>
  <si>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</si>
  <si>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</si>
  <si>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</si>
  <si>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</si>
  <si>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</si>
  <si>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</si>
  <si>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</si>
  <si>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</si>
  <si>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</si>
  <si>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</si>
  <si>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</si>
  <si>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</si>
  <si>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</si>
  <si>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</si>
  <si>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</si>
  <si>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</si>
  <si>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</si>
  <si>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</si>
  <si>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</si>
  <si>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</si>
  <si>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</si>
  <si>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</si>
  <si>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</si>
  <si>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</si>
  <si>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</si>
  <si>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</si>
  <si>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</si>
  <si>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</si>
  <si>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</si>
  <si>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</si>
  <si>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</si>
  <si>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</si>
  <si>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</si>
  <si>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</si>
  <si>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</si>
  <si>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</si>
  <si>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</si>
  <si>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</si>
  <si>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</si>
  <si>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</si>
  <si>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</si>
  <si>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</si>
  <si>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</si>
  <si>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</si>
  <si>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</si>
  <si>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</si>
  <si>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</si>
  <si>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</si>
  <si>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</si>
  <si>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</si>
  <si>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</si>
  <si>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</si>
  <si>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</si>
  <si>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</si>
  <si>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</si>
  <si>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</si>
  <si>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</si>
  <si>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</si>
  <si>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</si>
  <si>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</si>
  <si>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</si>
  <si>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</si>
  <si>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</si>
  <si>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</si>
  <si>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</si>
  <si>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</si>
  <si>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</si>
  <si>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</si>
  <si>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</si>
  <si>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</si>
  <si>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</si>
  <si>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</si>
  <si>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</si>
  <si>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</si>
  <si>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</si>
  <si>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</si>
  <si>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</si>
  <si>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</si>
  <si>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</si>
  <si>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</si>
  <si>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</si>
  <si>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</si>
  <si>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</si>
  <si>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</si>
  <si>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</si>
  <si>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</si>
  <si>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</si>
  <si>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</si>
  <si>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</si>
  <si>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</si>
  <si>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</si>
  <si>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</si>
  <si>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</si>
  <si>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</si>
  <si>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</si>
  <si>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</si>
  <si>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</si>
  <si>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</si>
  <si>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</si>
  <si>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</si>
  <si>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</si>
  <si>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</si>
  <si>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</si>
  <si>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</si>
  <si>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</si>
  <si>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</si>
  <si>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</si>
  <si>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</si>
  <si>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</si>
  <si>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</si>
  <si>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</si>
  <si>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</si>
  <si>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</si>
  <si>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</si>
  <si>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</si>
  <si>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</si>
  <si>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</si>
  <si>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</si>
  <si>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</si>
  <si>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</si>
  <si>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</si>
  <si>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</si>
  <si>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</si>
  <si>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</si>
  <si>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</si>
  <si>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</si>
  <si>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</si>
  <si>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</si>
  <si>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</si>
  <si>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</si>
  <si>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</si>
  <si>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</si>
  <si>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</si>
  <si>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</si>
  <si>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</si>
  <si>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</si>
  <si>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</si>
  <si>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</si>
  <si>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</si>
  <si>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</si>
  <si>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</si>
  <si>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</si>
  <si>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</si>
  <si>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</si>
  <si>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</si>
  <si>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</si>
  <si>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</si>
  <si>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</si>
  <si>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</si>
  <si>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</si>
  <si>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</si>
  <si>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</si>
  <si>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</si>
  <si>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</si>
  <si>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</si>
  <si>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</si>
  <si>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</si>
  <si>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</si>
  <si>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</si>
  <si>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</si>
  <si>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</si>
  <si>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</si>
  <si>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</si>
  <si>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</si>
  <si>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</si>
  <si>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</si>
  <si>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</si>
  <si>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</si>
  <si>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</si>
  <si>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</si>
  <si>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</si>
  <si>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</si>
  <si>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</si>
  <si>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</si>
  <si>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</si>
  <si>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</si>
  <si>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</si>
  <si>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</si>
  <si>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</si>
  <si>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</si>
  <si>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</si>
  <si>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</si>
  <si>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</si>
  <si>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</si>
  <si>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</si>
  <si>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</si>
  <si>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</si>
  <si>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</si>
  <si>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</si>
  <si>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</si>
  <si>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</si>
  <si>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</si>
  <si>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</si>
  <si>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</si>
  <si>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</si>
  <si>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</si>
  <si>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</si>
  <si>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</si>
  <si>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</si>
  <si>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</si>
  <si>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</si>
  <si>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</si>
  <si>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</si>
  <si>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</si>
  <si>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</si>
  <si>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</si>
  <si>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</si>
  <si>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</si>
  <si>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</si>
  <si>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</si>
  <si>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</si>
  <si>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</si>
  <si>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</si>
  <si>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</si>
  <si>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</si>
  <si>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</si>
  <si>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</si>
  <si>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</si>
  <si>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</si>
  <si>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</si>
  <si>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</si>
  <si>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</si>
  <si>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</si>
  <si>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</si>
  <si>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</si>
  <si>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</si>
  <si>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</si>
  <si>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</si>
  <si>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</si>
  <si>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</si>
  <si>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</si>
  <si>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</si>
  <si>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</si>
  <si>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</si>
  <si>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</si>
  <si>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</si>
  <si>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</si>
  <si>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</si>
  <si>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</si>
  <si>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</si>
  <si>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</si>
  <si>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</si>
  <si>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</si>
  <si>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</si>
  <si>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</si>
  <si>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</si>
  <si>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</si>
  <si>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</si>
  <si>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</si>
  <si>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</si>
  <si>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</si>
  <si>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</si>
  <si>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</si>
  <si>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</si>
  <si>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</si>
  <si>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</si>
  <si>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</si>
  <si>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</si>
  <si>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</si>
  <si>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</si>
  <si>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</si>
  <si>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</si>
  <si>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</si>
  <si>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</si>
  <si>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</si>
  <si>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</si>
  <si>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</si>
  <si>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</si>
  <si>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</si>
  <si>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</si>
  <si>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</si>
  <si>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</si>
  <si>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</si>
  <si>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</si>
  <si>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</si>
  <si>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</si>
  <si>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</si>
  <si>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</si>
  <si>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</si>
  <si>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</si>
  <si>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</si>
  <si>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</si>
  <si>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</si>
  <si>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</si>
  <si>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</si>
  <si>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</si>
  <si>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</si>
  <si>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</si>
  <si>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</si>
  <si>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</si>
  <si>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</si>
  <si>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</si>
  <si>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</si>
  <si>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</si>
  <si>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</si>
  <si>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</si>
  <si>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</si>
  <si>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</si>
  <si>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</si>
  <si>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</si>
  <si>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</si>
  <si>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</si>
  <si>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</si>
  <si>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</si>
  <si>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</si>
  <si>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</si>
  <si>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</si>
  <si>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</si>
  <si>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</si>
  <si>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</si>
  <si>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</si>
  <si>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</si>
  <si>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</si>
  <si>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</si>
  <si>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</si>
  <si>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</si>
  <si>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</si>
  <si>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</si>
  <si>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</si>
  <si>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</si>
  <si>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</si>
  <si>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</si>
  <si>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</si>
  <si>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</si>
  <si>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</si>
  <si>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</si>
  <si>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</si>
  <si>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</si>
  <si>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</si>
  <si>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</si>
  <si>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</si>
  <si>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</si>
  <si>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</si>
  <si>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</si>
  <si>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</si>
  <si>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</si>
  <si>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</si>
  <si>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</si>
  <si>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</si>
  <si>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</si>
  <si>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</si>
  <si>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</si>
  <si>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</si>
  <si>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</si>
  <si>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</si>
  <si>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</si>
  <si>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</si>
  <si>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</si>
  <si>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</si>
  <si>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</si>
  <si>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</si>
  <si>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</si>
  <si>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</si>
  <si>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</si>
  <si>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</si>
  <si>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</si>
  <si>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</si>
  <si>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</si>
  <si>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</si>
  <si>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</si>
  <si>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</si>
  <si>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</si>
  <si>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</si>
  <si>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</si>
  <si>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</si>
  <si>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</si>
  <si>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</si>
  <si>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</si>
  <si>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</si>
  <si>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</si>
  <si>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</si>
  <si>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</si>
  <si>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</si>
  <si>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</si>
  <si>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</si>
  <si>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</si>
  <si>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</si>
  <si>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</si>
  <si>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</si>
  <si>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</si>
  <si>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</si>
  <si>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</si>
  <si>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</si>
  <si>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</si>
  <si>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</si>
  <si>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</si>
  <si>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</si>
  <si>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</si>
  <si>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</si>
  <si>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</si>
  <si>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</si>
  <si>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</si>
  <si>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</si>
  <si>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</si>
  <si>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</si>
  <si>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</si>
  <si>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</si>
  <si>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</si>
  <si>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</si>
  <si>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</si>
  <si>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</si>
  <si>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</si>
  <si>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</si>
  <si>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</si>
  <si>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</si>
  <si>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</si>
  <si>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</si>
  <si>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</si>
  <si>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</si>
  <si>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</si>
  <si>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</si>
  <si>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</si>
  <si>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</si>
  <si>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</si>
  <si>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</si>
  <si>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</si>
  <si>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</si>
  <si>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</si>
  <si>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</si>
  <si>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</si>
  <si>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</si>
  <si>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</si>
  <si>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</si>
  <si>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</si>
  <si>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</si>
  <si>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</si>
  <si>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</si>
  <si>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</si>
  <si>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</si>
  <si>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</si>
  <si>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</si>
  <si>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</si>
  <si>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</si>
  <si>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</si>
  <si>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</si>
  <si>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</si>
  <si>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</si>
  <si>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</si>
  <si>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</si>
  <si>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</si>
  <si>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</si>
  <si>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</si>
  <si>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</si>
  <si>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</si>
  <si>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</si>
  <si>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</si>
  <si>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</si>
  <si>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</si>
  <si>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</si>
  <si>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</si>
  <si>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</si>
  <si>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</si>
  <si>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</si>
  <si>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</si>
  <si>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</si>
  <si>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</si>
  <si>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</si>
  <si>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</si>
  <si>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</si>
  <si>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</si>
  <si>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</si>
  <si>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</si>
  <si>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</si>
  <si>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</si>
  <si>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</si>
  <si>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</si>
  <si>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</si>
  <si>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</si>
  <si>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</si>
  <si>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</si>
  <si>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</si>
  <si>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</si>
  <si>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</si>
  <si>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</si>
  <si>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</si>
  <si>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</si>
  <si>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</si>
  <si>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</si>
  <si>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</si>
  <si>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</si>
  <si>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</si>
  <si>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</si>
  <si>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</si>
  <si>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</si>
  <si>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</si>
  <si>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</si>
  <si>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</si>
  <si>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</si>
  <si>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</si>
  <si>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</si>
  <si>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</si>
  <si>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</si>
  <si>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</si>
  <si>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</si>
  <si>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</si>
  <si>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</si>
  <si>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</si>
  <si>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</si>
  <si>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</si>
  <si>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</si>
  <si>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</si>
  <si>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</si>
  <si>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</si>
  <si>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</si>
  <si>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</si>
  <si>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</si>
  <si>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</si>
  <si>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</si>
  <si>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</si>
  <si>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</si>
  <si>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</si>
  <si>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</si>
  <si>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</si>
  <si>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</si>
  <si>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</si>
  <si>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</si>
  <si>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</si>
  <si>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</si>
  <si>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</si>
  <si>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</si>
  <si>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</si>
  <si>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</si>
  <si>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</si>
  <si>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</si>
  <si>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</si>
  <si>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</si>
  <si>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</si>
  <si>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</si>
  <si>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</si>
  <si>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</si>
  <si>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</si>
  <si>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</si>
  <si>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</si>
  <si>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</si>
  <si>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</si>
  <si>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</si>
  <si>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</si>
  <si>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</si>
  <si>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</si>
  <si>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</si>
  <si>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</si>
  <si>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</si>
  <si>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</si>
  <si>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</si>
  <si>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</si>
  <si>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</si>
  <si>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</si>
  <si>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</si>
  <si>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</si>
  <si>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</si>
  <si>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</si>
  <si>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</si>
  <si>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</si>
  <si>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</si>
  <si>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</si>
  <si>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</si>
  <si>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</si>
  <si>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</si>
  <si>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</si>
  <si>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</si>
  <si>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</si>
  <si>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</si>
  <si>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</si>
  <si>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</si>
  <si>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</si>
  <si>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</si>
  <si>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</si>
  <si>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</si>
  <si>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</si>
  <si>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</si>
  <si>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</si>
  <si>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</si>
  <si>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</si>
  <si>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</si>
  <si>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</si>
  <si>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</si>
  <si>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</si>
  <si>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</si>
  <si>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</si>
  <si>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</si>
  <si>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</si>
  <si>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</si>
  <si>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</si>
  <si>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</si>
  <si>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</si>
  <si>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</si>
  <si>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</si>
  <si>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</si>
  <si>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</si>
  <si>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</si>
  <si>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</si>
  <si>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</si>
  <si>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</si>
  <si>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</si>
  <si>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</si>
  <si>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</si>
  <si>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</si>
  <si>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</si>
  <si>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</si>
  <si>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</si>
  <si>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</si>
  <si>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</si>
  <si>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</si>
  <si>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</si>
  <si>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</si>
  <si>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</si>
  <si>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</si>
  <si>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</si>
  <si>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</si>
  <si>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</si>
  <si>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</si>
  <si>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</si>
  <si>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</si>
  <si>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</si>
  <si>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</si>
  <si>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</si>
  <si>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</si>
  <si>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</si>
  <si>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</si>
  <si>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</si>
  <si>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</si>
  <si>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</si>
  <si>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</si>
  <si>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</si>
  <si>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</si>
  <si>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</si>
  <si>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</si>
  <si>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</si>
  <si>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</si>
  <si>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</si>
  <si>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</si>
  <si>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</si>
  <si>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</si>
  <si>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</si>
  <si>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</si>
  <si>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</si>
  <si>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</si>
  <si>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</si>
  <si>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</si>
  <si>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</si>
  <si>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</si>
  <si>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</si>
  <si>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</si>
  <si>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</si>
  <si>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</si>
  <si>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</si>
  <si>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</si>
  <si>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</si>
  <si>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</si>
  <si>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</si>
  <si>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</si>
  <si>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</si>
  <si>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</si>
  <si>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</si>
  <si>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</si>
  <si>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</si>
  <si>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</si>
  <si>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</si>
  <si>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</si>
  <si>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</si>
  <si>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</si>
  <si>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</si>
  <si>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</si>
  <si>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</si>
  <si>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</si>
  <si>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</si>
  <si>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</si>
  <si>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</si>
  <si>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</si>
  <si>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</si>
  <si>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</si>
  <si>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</si>
  <si>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</si>
  <si>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</si>
  <si>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</si>
  <si>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</si>
  <si>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</si>
  <si>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</si>
  <si>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</si>
  <si>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</si>
  <si>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</si>
  <si>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</si>
  <si>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</si>
  <si>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</si>
  <si>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</si>
  <si>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</si>
  <si>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</si>
  <si>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</si>
  <si>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</si>
  <si>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</si>
  <si>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</si>
  <si>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</si>
  <si>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</si>
  <si>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</si>
  <si>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</si>
  <si>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</si>
  <si>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</si>
  <si>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</si>
  <si>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</si>
  <si>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</si>
  <si>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</si>
  <si>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</si>
  <si>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</si>
  <si>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</si>
  <si>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</si>
  <si>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</si>
  <si>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</si>
  <si>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</si>
  <si>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</si>
  <si>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</si>
  <si>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</si>
  <si>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</si>
  <si>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</si>
  <si>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</si>
  <si>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</si>
  <si>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</si>
  <si>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</si>
  <si>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</si>
  <si>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</si>
  <si>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</si>
  <si>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</si>
  <si>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</si>
  <si>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</si>
  <si>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</si>
  <si>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</si>
  <si>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</si>
  <si>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</si>
  <si>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</si>
  <si>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</si>
  <si>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</si>
  <si>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</si>
  <si>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</si>
  <si>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</si>
  <si>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</si>
  <si>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</si>
  <si>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</si>
  <si>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</si>
  <si>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</si>
  <si>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</si>
  <si>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</si>
  <si>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</si>
  <si>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</si>
  <si>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</si>
  <si>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</si>
  <si>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</si>
  <si>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</si>
  <si>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</si>
  <si>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</si>
  <si>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</si>
  <si>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</si>
  <si>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</si>
  <si>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</si>
  <si>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</si>
  <si>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</si>
  <si>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</si>
  <si>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</si>
  <si>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</si>
  <si>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</si>
  <si>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</si>
  <si>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</si>
  <si>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</si>
  <si>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</si>
  <si>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</si>
  <si>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</si>
  <si>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</si>
  <si>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</si>
  <si>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</si>
  <si>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</si>
  <si>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</si>
  <si>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</si>
  <si>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</si>
  <si>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</si>
  <si>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</si>
  <si>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</si>
  <si>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</si>
  <si>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</si>
  <si>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</si>
  <si>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</si>
  <si>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</si>
  <si>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</si>
  <si>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</si>
  <si>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</si>
  <si>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</si>
  <si>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</si>
  <si>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</si>
  <si>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</si>
  <si>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</si>
  <si>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</si>
  <si>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</si>
  <si>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</si>
  <si>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</si>
  <si>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</si>
  <si>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</si>
  <si>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</si>
  <si>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</si>
  <si>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</si>
  <si>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</si>
  <si>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</si>
  <si>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</si>
  <si>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</si>
  <si>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</si>
  <si>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</si>
  <si>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</si>
  <si>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</si>
  <si>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</si>
  <si>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</si>
  <si>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</si>
  <si>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</si>
  <si>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</si>
  <si>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</si>
  <si>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</si>
  <si>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</si>
  <si>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</si>
  <si>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</si>
  <si>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</si>
  <si>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</si>
  <si>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</si>
  <si>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</si>
  <si>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</si>
  <si>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</si>
  <si>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</si>
  <si>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</si>
  <si>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</si>
  <si>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</si>
  <si>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</si>
  <si>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</si>
  <si>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</si>
  <si>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</si>
  <si>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</si>
  <si>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</si>
  <si>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</si>
  <si>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</si>
  <si>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</si>
  <si>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</si>
  <si>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</si>
  <si>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</si>
  <si>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</si>
  <si>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</si>
  <si>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</si>
  <si>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</si>
  <si>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</si>
  <si>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</si>
  <si>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</si>
  <si>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</si>
  <si>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</si>
  <si>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</si>
  <si>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</si>
  <si>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</si>
  <si>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</si>
  <si>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</si>
  <si>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</si>
  <si>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</si>
  <si>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</si>
  <si>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</si>
  <si>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</si>
  <si>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</si>
  <si>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</si>
  <si>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</si>
  <si>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</si>
  <si>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</si>
  <si>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</si>
  <si>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</si>
  <si>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</si>
  <si>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</si>
  <si>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</si>
  <si>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</si>
  <si>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</si>
  <si>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</si>
  <si>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</si>
  <si>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</si>
  <si>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</si>
  <si>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</si>
  <si>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</si>
  <si>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</si>
  <si>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</si>
  <si>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</si>
  <si>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</si>
  <si>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</si>
  <si>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</si>
  <si>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</si>
  <si>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</si>
  <si>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</si>
  <si>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</si>
  <si>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</si>
  <si>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</si>
  <si>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</si>
  <si>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</si>
  <si>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</si>
  <si>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</si>
  <si>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</si>
  <si>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</si>
  <si>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</si>
  <si>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</si>
  <si>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</si>
  <si>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</si>
  <si>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</si>
  <si>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</si>
  <si>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</si>
  <si>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</si>
  <si>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</si>
  <si>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</si>
  <si>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</si>
  <si>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</si>
  <si>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</si>
  <si>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</si>
  <si>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</si>
  <si>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</si>
  <si>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</si>
  <si>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</si>
  <si>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</si>
  <si>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</si>
  <si>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</si>
  <si>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</si>
  <si>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</si>
  <si>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</si>
  <si>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</si>
  <si>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</si>
  <si>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</si>
  <si>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</si>
  <si>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</si>
  <si>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</si>
  <si>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</si>
  <si>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</si>
  <si>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</si>
  <si>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</si>
  <si>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</si>
  <si>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</si>
  <si>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</si>
  <si>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</si>
  <si>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</si>
  <si>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</si>
  <si>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</si>
  <si>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</si>
  <si>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</si>
  <si>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</si>
  <si>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</si>
  <si>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</si>
  <si>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</si>
  <si>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</si>
  <si>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</si>
  <si>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</si>
  <si>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</si>
  <si>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</si>
  <si>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</si>
  <si>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</si>
  <si>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</si>
  <si>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</si>
  <si>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</si>
  <si>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</si>
  <si>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</si>
  <si>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</si>
  <si>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</si>
  <si>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</si>
  <si>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</si>
  <si>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</si>
  <si>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</si>
  <si>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</si>
  <si>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</si>
  <si>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</si>
  <si>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</si>
  <si>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</si>
  <si>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</si>
  <si>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</si>
  <si>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</si>
  <si>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</si>
  <si>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</si>
  <si>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</si>
  <si>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</si>
  <si>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</si>
  <si>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</si>
  <si>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</si>
  <si>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</si>
  <si>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</si>
  <si>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</si>
  <si>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</si>
  <si>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</si>
  <si>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</si>
  <si>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</si>
  <si>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</si>
  <si>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</si>
  <si>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</si>
  <si>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</si>
  <si>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</si>
  <si>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</si>
  <si>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</si>
  <si>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</si>
  <si>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</si>
  <si>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</si>
  <si>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</si>
  <si>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</si>
  <si>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</si>
  <si>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</si>
  <si>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</si>
  <si>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</si>
  <si>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</si>
  <si>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</si>
  <si>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</si>
  <si>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</si>
  <si>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</si>
  <si>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</si>
  <si>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</si>
  <si>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</si>
  <si>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</si>
  <si>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</si>
  <si>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</si>
  <si>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</si>
  <si>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</si>
  <si>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</si>
  <si>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</si>
  <si>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</si>
  <si>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</si>
  <si>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</si>
  <si>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</si>
  <si>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</si>
  <si>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</si>
  <si>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</si>
  <si>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</si>
  <si>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</si>
  <si>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</si>
  <si>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</si>
  <si>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</si>
  <si>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</si>
  <si>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</si>
  <si>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</si>
  <si>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</si>
  <si>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</si>
  <si>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</si>
  <si>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</si>
  <si>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</si>
  <si>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</si>
  <si>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</si>
  <si>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</si>
  <si>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</si>
  <si>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</si>
  <si>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</si>
  <si>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</si>
  <si>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</si>
  <si>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</si>
  <si>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</si>
  <si>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</si>
  <si>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</si>
  <si>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</si>
  <si>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</si>
  <si>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</si>
  <si>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</si>
  <si>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</si>
  <si>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</si>
  <si>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</si>
  <si>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</si>
  <si>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</si>
  <si>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</si>
  <si>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</si>
  <si>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</si>
  <si>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</si>
  <si>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</si>
  <si>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</si>
  <si>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</si>
  <si>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</si>
  <si>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</si>
  <si>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</si>
  <si>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</si>
  <si>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</si>
  <si>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</si>
  <si>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</si>
  <si>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</si>
  <si>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</si>
  <si>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</si>
  <si>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</si>
  <si>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</si>
  <si>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</si>
  <si>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</si>
  <si>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</si>
  <si>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</si>
  <si>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</si>
  <si>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</si>
  <si>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</si>
  <si>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</si>
  <si>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</si>
  <si>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</si>
  <si>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</si>
  <si>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</si>
  <si>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</si>
  <si>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</si>
  <si>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</si>
  <si>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</si>
  <si>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</si>
  <si>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</si>
  <si>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</si>
  <si>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</si>
  <si>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</si>
  <si>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</si>
  <si>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</si>
  <si>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</si>
  <si>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</si>
  <si>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</si>
  <si>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</si>
  <si>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</si>
  <si>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</si>
  <si>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</si>
  <si>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</si>
  <si>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</si>
  <si>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</si>
  <si>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</si>
  <si>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</si>
  <si>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</si>
  <si>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</si>
  <si>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</si>
  <si>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</si>
  <si>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</si>
  <si>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</si>
  <si>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</si>
  <si>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</si>
  <si>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</si>
  <si>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</si>
  <si>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</si>
  <si>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</si>
  <si>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</si>
  <si>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</si>
  <si>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</si>
  <si>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</si>
  <si>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</si>
  <si>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</si>
  <si>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</si>
  <si>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</si>
  <si>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</si>
  <si>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</si>
  <si>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</si>
  <si>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</si>
  <si>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</si>
  <si>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</si>
  <si>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</si>
  <si>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</si>
  <si>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</si>
  <si>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</si>
  <si>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</si>
  <si>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</si>
  <si>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</si>
  <si>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</si>
  <si>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</si>
  <si>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</si>
  <si>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</si>
  <si>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</si>
  <si>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</si>
  <si>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</si>
  <si>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</si>
  <si>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</si>
  <si>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</si>
  <si>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</si>
  <si>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</si>
  <si>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</si>
  <si>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</si>
  <si>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</si>
  <si>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</si>
  <si>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</si>
  <si>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</si>
  <si>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</si>
  <si>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</si>
  <si>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</si>
  <si>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</si>
  <si>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</si>
  <si>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</si>
  <si>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</si>
  <si>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</si>
  <si>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</si>
  <si>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</si>
  <si>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</si>
  <si>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</si>
  <si>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</si>
  <si>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</si>
  <si>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</si>
  <si>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</si>
  <si>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</si>
  <si>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</si>
  <si>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</si>
  <si>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</si>
  <si>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</si>
  <si>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</si>
  <si>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</si>
  <si>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</si>
  <si>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</si>
  <si>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</si>
  <si>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</si>
  <si>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</si>
  <si>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</si>
  <si>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</si>
  <si>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</si>
  <si>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</si>
  <si>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</si>
  <si>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</si>
  <si>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</si>
  <si>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</si>
  <si>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</si>
  <si>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</si>
  <si>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</si>
  <si>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</si>
  <si>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</si>
  <si>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</si>
  <si>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</si>
  <si>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</si>
  <si>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</si>
  <si>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</si>
  <si>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</si>
  <si>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</si>
  <si>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</si>
  <si>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</si>
  <si>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</si>
  <si>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</si>
  <si>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</si>
  <si>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</si>
  <si>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</si>
  <si>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</si>
  <si>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</si>
  <si>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</si>
  <si>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</si>
  <si>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</si>
  <si>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</si>
  <si>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</si>
  <si>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</si>
  <si>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</si>
  <si>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</si>
  <si>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</si>
  <si>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</si>
  <si>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</si>
  <si>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</si>
  <si>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</si>
  <si>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</si>
  <si>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</si>
  <si>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</si>
  <si>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</si>
  <si>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</si>
  <si>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</si>
  <si>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</si>
  <si>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</si>
  <si>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</si>
  <si>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</si>
  <si>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</si>
  <si>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</si>
  <si>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</si>
  <si>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</si>
  <si>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</si>
  <si>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</si>
  <si>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</si>
  <si>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</si>
  <si>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</si>
  <si>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</si>
  <si>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</si>
  <si>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</si>
  <si>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</si>
  <si>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</si>
  <si>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</si>
  <si>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</si>
  <si>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</si>
  <si>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</si>
  <si>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</si>
  <si>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</si>
  <si>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</si>
  <si>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</si>
  <si>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</si>
  <si>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</si>
  <si>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</si>
  <si>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</si>
  <si>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</si>
  <si>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</si>
  <si>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</si>
  <si>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</si>
  <si>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</si>
  <si>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</si>
  <si>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</si>
  <si>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</si>
  <si>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</si>
  <si>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</si>
  <si>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</si>
  <si>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</si>
  <si>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</si>
  <si>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</si>
  <si>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</si>
  <si>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</si>
  <si>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</si>
  <si>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</si>
  <si>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</si>
  <si>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</si>
  <si>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</si>
  <si>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</si>
  <si>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</si>
  <si>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</si>
  <si>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</si>
  <si>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</si>
  <si>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</si>
  <si>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</si>
  <si>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</si>
  <si>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</si>
  <si>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</si>
  <si>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</si>
  <si>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</si>
  <si>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</si>
  <si>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</si>
  <si>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</si>
  <si>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</si>
  <si>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</si>
  <si>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</si>
  <si>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</si>
  <si>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</si>
  <si>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</si>
  <si>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</si>
  <si>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</si>
  <si>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</si>
  <si>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</si>
  <si>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</si>
  <si>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</si>
  <si>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</si>
  <si>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</si>
  <si>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</si>
  <si>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</si>
  <si>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</si>
  <si>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</si>
  <si>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</si>
  <si>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</si>
  <si>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</si>
  <si>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</si>
  <si>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</si>
  <si>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</si>
  <si>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</si>
  <si>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</si>
  <si>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</si>
  <si>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</si>
  <si>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</si>
  <si>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</si>
  <si>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</si>
  <si>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</si>
  <si>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</si>
  <si>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</si>
  <si>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</si>
  <si>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</si>
  <si>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</si>
  <si>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</si>
  <si>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</si>
  <si>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</si>
  <si>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</si>
  <si>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</si>
  <si>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</si>
  <si>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</si>
  <si>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</si>
  <si>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</si>
  <si>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</si>
  <si>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</si>
  <si>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</si>
  <si>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</si>
  <si>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</si>
  <si>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</si>
  <si>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</si>
  <si>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</si>
  <si>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</si>
  <si>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</si>
  <si>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</si>
  <si>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</si>
  <si>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</si>
  <si>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</si>
  <si>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</si>
  <si>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</si>
  <si>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</si>
  <si>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</si>
  <si>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</si>
  <si>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</si>
  <si>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</si>
  <si>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</si>
  <si>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</si>
  <si>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</si>
  <si>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</si>
  <si>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</si>
  <si>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</si>
  <si>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</si>
  <si>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</si>
  <si>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</si>
  <si>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</si>
  <si>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</si>
  <si>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</si>
  <si>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</si>
  <si>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</si>
  <si>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</si>
  <si>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</si>
  <si>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</si>
  <si>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</si>
  <si>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</si>
  <si>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</si>
  <si>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</si>
  <si>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</si>
  <si>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</si>
  <si>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</si>
  <si>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</si>
  <si>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</si>
  <si>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</si>
  <si>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</si>
  <si>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</si>
  <si>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</si>
  <si>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</si>
  <si>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</si>
  <si>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</si>
  <si>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</si>
  <si>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</si>
  <si>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</si>
  <si>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</si>
  <si>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</si>
  <si>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</si>
  <si>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</si>
  <si>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</si>
  <si>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</si>
  <si>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</si>
  <si>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</si>
  <si>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</si>
  <si>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</si>
  <si>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</si>
  <si>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</si>
  <si>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</si>
  <si>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</si>
  <si>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</si>
  <si>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</si>
  <si>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</si>
  <si>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</si>
  <si>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</si>
  <si>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</si>
  <si>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</si>
  <si>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</si>
  <si>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</si>
  <si>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</si>
  <si>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</si>
  <si>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</si>
  <si>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</si>
  <si>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</si>
  <si>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</si>
  <si>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</si>
  <si>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</si>
  <si>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</si>
  <si>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</si>
  <si>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</si>
  <si>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</si>
  <si>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</si>
  <si>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</si>
  <si>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</si>
  <si>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</si>
  <si>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</si>
  <si>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</si>
  <si>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</si>
  <si>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</si>
  <si>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</si>
  <si>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</si>
  <si>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</si>
  <si>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</si>
  <si>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</si>
  <si>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</si>
  <si>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</si>
  <si>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</si>
  <si>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</si>
  <si>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</si>
  <si>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</si>
  <si>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</si>
  <si>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</si>
  <si>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</si>
  <si>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</si>
  <si>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</si>
  <si>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</si>
  <si>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</si>
  <si>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</si>
  <si>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</si>
  <si>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</si>
  <si>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</si>
  <si>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</si>
  <si>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</si>
  <si>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</si>
  <si>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</si>
  <si>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</si>
  <si>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</si>
  <si>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</si>
  <si>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</si>
  <si>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</si>
  <si>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</si>
  <si>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</si>
  <si>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</si>
  <si>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</si>
  <si>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</si>
  <si>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</si>
  <si>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</si>
  <si>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</si>
  <si>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</si>
  <si>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</si>
  <si>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</si>
  <si>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</si>
  <si>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</si>
  <si>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</si>
  <si>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</si>
  <si>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</si>
  <si>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</si>
  <si>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</si>
  <si>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</si>
  <si>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</si>
  <si>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</si>
  <si>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</si>
  <si>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</si>
  <si>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</si>
  <si>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</si>
  <si>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</si>
  <si>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</si>
  <si>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</si>
  <si>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</si>
  <si>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</si>
  <si>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</si>
  <si>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</si>
  <si>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</si>
  <si>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</si>
  <si>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</si>
  <si>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</si>
  <si>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</si>
  <si>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</si>
  <si>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</si>
  <si>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</si>
  <si>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</si>
  <si>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</si>
  <si>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</si>
  <si>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</si>
  <si>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</si>
  <si>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</si>
  <si>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</si>
  <si>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</si>
  <si>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</si>
  <si>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</si>
  <si>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</si>
  <si>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</si>
  <si>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</si>
  <si>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</si>
  <si>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</si>
  <si>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</si>
  <si>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</si>
  <si>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</si>
  <si>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</si>
  <si>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</si>
  <si>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</si>
  <si>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</si>
  <si>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</si>
  <si>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</si>
  <si>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</si>
  <si>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</si>
  <si>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</si>
  <si>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</si>
  <si>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</si>
  <si>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</si>
  <si>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</si>
  <si>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</si>
  <si>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</si>
  <si>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</si>
  <si>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</si>
  <si>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</si>
  <si>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</si>
  <si>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</si>
  <si>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</si>
  <si>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</si>
  <si>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</si>
  <si>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</si>
  <si>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</si>
  <si>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</si>
  <si>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</si>
  <si>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</si>
  <si>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</si>
  <si>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</si>
  <si>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</si>
  <si>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</si>
  <si>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</si>
  <si>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</si>
  <si>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</si>
  <si>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</si>
  <si>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</si>
  <si>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</si>
  <si>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</si>
  <si>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</si>
  <si>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</si>
  <si>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</si>
  <si>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</si>
  <si>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</si>
  <si>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</si>
  <si>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</si>
  <si>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</si>
  <si>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</si>
  <si>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</si>
  <si>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</si>
  <si>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</si>
  <si>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</si>
  <si>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</si>
  <si>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</si>
  <si>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</si>
  <si>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</si>
  <si>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</si>
  <si>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</si>
  <si>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</si>
  <si>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</si>
  <si>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</si>
  <si>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</si>
  <si>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</si>
  <si>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</si>
  <si>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</si>
  <si>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</si>
  <si>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</si>
  <si>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</si>
  <si>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</si>
  <si>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</si>
  <si>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</si>
  <si>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</si>
  <si>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</si>
  <si>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</si>
  <si>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</si>
  <si>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</si>
  <si>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</si>
  <si>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</si>
  <si>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</si>
  <si>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</si>
  <si>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</si>
  <si>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</si>
  <si>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</si>
  <si>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</si>
  <si>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</si>
  <si>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</si>
  <si>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</si>
  <si>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</si>
  <si>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</si>
  <si>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</si>
  <si>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</si>
  <si>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</si>
  <si>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</si>
  <si>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</si>
  <si>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</si>
  <si>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</si>
  <si>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</si>
  <si>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</si>
  <si>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</si>
  <si>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</si>
  <si>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</si>
  <si>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</si>
  <si>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</si>
  <si>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</si>
  <si>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</si>
  <si>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</si>
  <si>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</si>
  <si>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</si>
  <si>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</si>
  <si>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</si>
  <si>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</si>
  <si>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</si>
  <si>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</si>
  <si>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</si>
  <si>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</si>
  <si>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</si>
  <si>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</si>
  <si>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</si>
  <si>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</si>
  <si>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</si>
  <si>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</si>
  <si>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</si>
  <si>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</si>
  <si>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</si>
  <si>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</si>
  <si>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</si>
  <si>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</si>
  <si>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</si>
  <si>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</si>
  <si>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</si>
  <si>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</si>
  <si>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</si>
  <si>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</si>
  <si>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</si>
  <si>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</si>
  <si>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</si>
  <si>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</si>
  <si>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</si>
  <si>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</si>
  <si>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</si>
  <si>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</si>
  <si>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</si>
  <si>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</si>
  <si>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</si>
  <si>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</si>
  <si>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</si>
  <si>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</si>
  <si>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</si>
  <si>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</si>
  <si>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</si>
  <si>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</si>
  <si>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</si>
  <si>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</si>
  <si>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</si>
  <si>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</si>
  <si>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</si>
  <si>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</si>
  <si>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</si>
  <si>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</si>
  <si>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</si>
  <si>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</si>
  <si>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</si>
  <si>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</si>
  <si>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</si>
  <si>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</si>
  <si>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</si>
  <si>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</si>
  <si>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</si>
  <si>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</si>
  <si>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</si>
  <si>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</si>
  <si>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</si>
  <si>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</si>
  <si>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</si>
  <si>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</si>
  <si>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</si>
  <si>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</si>
  <si>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</si>
  <si>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</si>
  <si>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</si>
  <si>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</si>
  <si>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</si>
  <si>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</si>
  <si>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</si>
  <si>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</si>
  <si>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</si>
  <si>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</si>
  <si>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</si>
  <si>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</si>
  <si>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</si>
  <si>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</si>
  <si>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</si>
  <si>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</si>
  <si>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</si>
  <si>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</si>
  <si>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</si>
  <si>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</si>
  <si>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</si>
  <si>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</si>
  <si>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</si>
  <si>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</si>
  <si>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</si>
  <si>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</si>
  <si>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</si>
  <si>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</si>
  <si>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</si>
  <si>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</si>
  <si>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</si>
  <si>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</si>
  <si>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</si>
  <si>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</si>
  <si>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</si>
  <si>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</si>
  <si>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</si>
  <si>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</si>
  <si>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</si>
  <si>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</si>
  <si>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</si>
  <si>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</si>
  <si>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</si>
  <si>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</si>
  <si>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</si>
  <si>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</si>
  <si>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</si>
  <si>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</si>
  <si>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</si>
  <si>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</si>
  <si>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</si>
  <si>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</si>
  <si>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</si>
  <si>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</si>
  <si>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</si>
  <si>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</si>
  <si>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</si>
  <si>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</si>
  <si>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</si>
  <si>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</si>
  <si>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</si>
  <si>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</si>
  <si>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</si>
  <si>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</si>
  <si>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</si>
  <si>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</si>
  <si>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</si>
  <si>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</si>
  <si>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</si>
  <si>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</si>
  <si>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</si>
  <si>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</si>
  <si>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</si>
  <si>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</si>
  <si>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</si>
  <si>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</si>
  <si>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</si>
  <si>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</si>
  <si>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</si>
  <si>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</si>
  <si>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</si>
  <si>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</si>
  <si>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</si>
  <si>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</si>
  <si>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</si>
  <si>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</si>
  <si>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</si>
  <si>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</si>
  <si>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</si>
  <si>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</si>
  <si>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</si>
  <si>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</si>
  <si>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</si>
  <si>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</si>
  <si>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</si>
  <si>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</si>
  <si>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</si>
  <si>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</si>
  <si>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</si>
  <si>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</si>
  <si>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</si>
  <si>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</si>
  <si>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</si>
  <si>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</si>
  <si>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</si>
  <si>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</si>
  <si>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</si>
  <si>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</si>
  <si>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</si>
  <si>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</si>
  <si>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</si>
  <si>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</si>
  <si>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</si>
  <si>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</si>
  <si>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</si>
  <si>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</si>
  <si>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</si>
  <si>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</si>
  <si>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</si>
  <si>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</si>
  <si>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</si>
  <si>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</si>
  <si>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</si>
  <si>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</si>
  <si>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</si>
  <si>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</si>
  <si>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</si>
  <si>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</si>
  <si>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</si>
  <si>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</si>
  <si>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</si>
  <si>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</si>
  <si>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</si>
  <si>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</si>
  <si>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</si>
  <si>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</si>
  <si>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</si>
  <si>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</si>
  <si>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</si>
  <si>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</si>
  <si>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</si>
  <si>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</si>
  <si>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</si>
  <si>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</si>
  <si>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</si>
  <si>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</si>
  <si>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</si>
  <si>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</si>
  <si>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</si>
  <si>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</si>
  <si>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</si>
  <si>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</si>
  <si>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</si>
  <si>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</si>
  <si>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</si>
  <si>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</si>
  <si>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</si>
  <si>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</si>
  <si>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</si>
  <si>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</si>
  <si>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</si>
  <si>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</si>
  <si>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</si>
  <si>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</si>
  <si>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</si>
  <si>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</si>
  <si>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</si>
  <si>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</si>
  <si>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</si>
  <si>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</si>
  <si>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</si>
  <si>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</si>
  <si>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</si>
  <si>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</si>
  <si>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</si>
  <si>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</si>
  <si>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</si>
  <si>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</si>
  <si>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</si>
  <si>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</si>
  <si>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</si>
  <si>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</si>
  <si>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</si>
  <si>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</si>
  <si>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</si>
  <si>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</si>
  <si>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</si>
  <si>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</si>
  <si>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</si>
  <si>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</si>
  <si>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</si>
  <si>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</si>
  <si>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</si>
  <si>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</si>
  <si>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</si>
  <si>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</si>
  <si>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</si>
  <si>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</si>
  <si>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</si>
  <si>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</si>
  <si>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</si>
  <si>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</si>
  <si>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</si>
  <si>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</si>
  <si>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</si>
  <si>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</si>
  <si>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</si>
  <si>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</si>
  <si>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</si>
  <si>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</si>
  <si>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</si>
  <si>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</si>
  <si>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</si>
  <si>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</si>
  <si>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</si>
  <si>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</si>
  <si>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</si>
  <si>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</si>
  <si>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</si>
  <si>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</si>
  <si>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</si>
  <si>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</si>
  <si>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</si>
  <si>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</si>
  <si>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</si>
  <si>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</si>
  <si>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</si>
  <si>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</si>
  <si>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</si>
  <si>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</si>
  <si>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</si>
  <si>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</si>
  <si>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</si>
  <si>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</si>
  <si>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</si>
  <si>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</si>
  <si>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</si>
  <si>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</si>
  <si>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</si>
  <si>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</si>
  <si>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</si>
  <si>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</si>
  <si>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</si>
  <si>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</si>
  <si>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</si>
  <si>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</si>
  <si>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</si>
  <si>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</si>
  <si>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</si>
  <si>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</si>
  <si>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</si>
  <si>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</si>
  <si>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</si>
  <si>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</si>
  <si>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</si>
  <si>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</si>
  <si>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</si>
  <si>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</si>
  <si>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</si>
  <si>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</si>
  <si>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</si>
  <si>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</si>
  <si>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</si>
  <si>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</si>
  <si>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</si>
  <si>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</si>
  <si>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</si>
  <si>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</si>
  <si>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</si>
  <si>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</si>
  <si>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</si>
  <si>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</si>
  <si>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</si>
  <si>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</si>
  <si>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</si>
  <si>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</si>
  <si>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</si>
  <si>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</si>
  <si>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</si>
  <si>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</si>
  <si>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</si>
  <si>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</si>
  <si>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</si>
  <si>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</si>
  <si>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</si>
  <si>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</si>
  <si>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</si>
  <si>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</si>
  <si>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</si>
  <si>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</si>
  <si>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</si>
  <si>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</si>
  <si>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</si>
  <si>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</si>
  <si>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</si>
  <si>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</si>
  <si>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</si>
  <si>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</si>
  <si>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</si>
  <si>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</si>
  <si>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</si>
  <si>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</si>
  <si>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</si>
  <si>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</si>
  <si>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</si>
  <si>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</si>
  <si>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</si>
  <si>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</si>
  <si>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</si>
  <si>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</si>
  <si>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</si>
  <si>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</si>
  <si>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</si>
  <si>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</si>
  <si>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</si>
  <si>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</si>
  <si>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</si>
  <si>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</si>
  <si>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</si>
  <si>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</si>
  <si>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</si>
  <si>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</si>
  <si>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</si>
  <si>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</si>
  <si>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</si>
  <si>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</si>
  <si>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</si>
  <si>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</si>
  <si>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</si>
  <si>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</si>
  <si>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</si>
  <si>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</si>
  <si>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</si>
  <si>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</si>
  <si>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</si>
  <si>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</si>
  <si>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</si>
  <si>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</si>
  <si>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</si>
  <si>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</si>
  <si>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</si>
  <si>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</si>
  <si>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</si>
  <si>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</si>
  <si>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</si>
  <si>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</si>
  <si>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</si>
  <si>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</si>
  <si>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</si>
  <si>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</si>
  <si>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</si>
  <si>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</si>
  <si>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</si>
  <si>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</si>
  <si>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</si>
  <si>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</si>
  <si>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</si>
  <si>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</si>
  <si>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</si>
  <si>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</si>
  <si>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</si>
  <si>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</si>
  <si>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</si>
  <si>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</si>
  <si>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</si>
  <si>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</si>
  <si>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</si>
  <si>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</si>
  <si>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</si>
  <si>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</si>
  <si>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</si>
  <si>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</si>
  <si>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</si>
  <si>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</si>
  <si>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</si>
  <si>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</si>
  <si>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</si>
  <si>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</si>
  <si>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</si>
  <si>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</si>
  <si>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</si>
  <si>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</si>
  <si>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</si>
  <si>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</si>
  <si>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</si>
  <si>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</si>
  <si>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</si>
  <si>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</si>
  <si>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</si>
  <si>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</si>
  <si>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</si>
  <si>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</si>
  <si>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</si>
  <si>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</si>
  <si>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</si>
  <si>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</si>
  <si>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</si>
  <si>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</si>
  <si>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</si>
  <si>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</si>
  <si>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</si>
  <si>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</si>
  <si>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</si>
  <si>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</si>
  <si>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</si>
  <si>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</si>
  <si>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</si>
  <si>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</si>
  <si>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</si>
  <si>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</si>
  <si>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</si>
  <si>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</si>
  <si>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</si>
  <si>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</si>
  <si>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</si>
  <si>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</si>
  <si>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</si>
  <si>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</si>
  <si>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</si>
  <si>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</si>
  <si>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</si>
  <si>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</si>
  <si>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</si>
  <si>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</si>
  <si>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</si>
  <si>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</si>
  <si>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</si>
  <si>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</si>
  <si>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</si>
  <si>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</si>
  <si>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</si>
  <si>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</si>
  <si>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</si>
  <si>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</si>
  <si>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</si>
  <si>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</si>
  <si>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</si>
  <si>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</si>
  <si>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</si>
  <si>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</si>
  <si>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</si>
  <si>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</si>
  <si>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</si>
  <si>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</si>
  <si>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</si>
  <si>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</si>
  <si>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</si>
  <si>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</si>
  <si>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</si>
  <si>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</si>
  <si>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</si>
  <si>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</si>
  <si>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</si>
  <si>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</si>
  <si>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</si>
  <si>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</si>
  <si>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</si>
  <si>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</si>
  <si>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</si>
  <si>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</si>
  <si>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</si>
  <si>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</si>
  <si>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</si>
  <si>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</si>
  <si>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</si>
  <si>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</si>
  <si>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</si>
  <si>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</si>
  <si>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</si>
  <si>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</si>
  <si>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</si>
  <si>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</si>
  <si>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</si>
  <si>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</si>
  <si>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</si>
  <si>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</si>
  <si>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</si>
  <si>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</si>
  <si>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</si>
  <si>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</si>
  <si>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</si>
  <si>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</si>
  <si>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</si>
  <si>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</si>
  <si>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</si>
  <si>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</si>
  <si>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</si>
  <si>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</si>
  <si>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</si>
  <si>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</si>
  <si>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</si>
  <si>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</si>
  <si>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</si>
  <si>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</si>
  <si>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</si>
  <si>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</si>
  <si>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</si>
  <si>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</si>
  <si>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</si>
  <si>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</si>
  <si>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</si>
  <si>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</si>
  <si>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</si>
  <si>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</si>
  <si>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</si>
  <si>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</si>
  <si>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</si>
  <si>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</si>
  <si>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</si>
  <si>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</si>
  <si>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</si>
  <si>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</si>
  <si>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</si>
  <si>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</si>
  <si>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</si>
  <si>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</si>
  <si>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</si>
  <si>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</si>
  <si>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</si>
  <si>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</si>
  <si>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</si>
  <si>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</si>
  <si>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</si>
  <si>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</si>
  <si>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</si>
  <si>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</si>
  <si>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</si>
  <si>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</si>
  <si>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</si>
  <si>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</si>
  <si>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</si>
  <si>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</si>
  <si>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</si>
  <si>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</si>
  <si>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</si>
  <si>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</si>
  <si>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</si>
  <si>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</si>
  <si>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</si>
  <si>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</si>
  <si>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</si>
  <si>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</si>
  <si>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</si>
  <si>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</si>
  <si>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</si>
  <si>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</si>
  <si>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</si>
  <si>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</si>
  <si>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</si>
  <si>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</si>
  <si>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</si>
  <si>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</si>
  <si>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</si>
  <si>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</si>
  <si>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</si>
  <si>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</si>
  <si>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</si>
  <si>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</si>
  <si>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</si>
  <si>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</si>
  <si>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</si>
  <si>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</si>
  <si>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</si>
  <si>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</si>
  <si>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</si>
  <si>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</si>
  <si>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</si>
  <si>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</si>
  <si>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</si>
  <si>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</si>
  <si>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</si>
  <si>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</si>
  <si>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</si>
  <si>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</si>
  <si>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</si>
  <si>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</si>
  <si>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</si>
  <si>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</si>
  <si>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</si>
  <si>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</si>
  <si>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</si>
  <si>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</si>
  <si>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</si>
  <si>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</si>
  <si>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</si>
  <si>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</si>
  <si>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</si>
  <si>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</si>
  <si>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</si>
  <si>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</si>
  <si>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</si>
  <si>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</si>
  <si>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</si>
  <si>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</si>
  <si>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</si>
  <si>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</si>
  <si>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</si>
  <si>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</si>
  <si>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</si>
  <si>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</si>
  <si>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</si>
  <si>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</si>
  <si>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</si>
  <si>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</si>
  <si>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</si>
  <si>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</si>
  <si>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</si>
  <si>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</si>
  <si>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</si>
  <si>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</si>
  <si>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</si>
  <si>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</si>
  <si>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</si>
  <si>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</si>
  <si>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</si>
  <si>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</si>
  <si>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</si>
  <si>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</si>
  <si>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</si>
  <si>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</si>
  <si>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</si>
  <si>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</si>
  <si>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</si>
  <si>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</si>
  <si>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</si>
  <si>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</si>
  <si>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</si>
  <si>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</si>
  <si>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</si>
  <si>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</si>
  <si>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</si>
  <si>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</si>
  <si>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</si>
  <si>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</si>
  <si>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</si>
  <si>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</si>
  <si>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</si>
  <si>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</si>
  <si>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</si>
  <si>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</si>
  <si>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</si>
  <si>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</si>
  <si>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</si>
  <si>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</si>
  <si>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</si>
  <si>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</si>
  <si>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</si>
  <si>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</si>
  <si>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</si>
  <si>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</si>
  <si>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</si>
  <si>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</si>
  <si>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</si>
  <si>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</si>
  <si>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</si>
  <si>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</si>
  <si>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</si>
  <si>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</si>
  <si>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</si>
  <si>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</si>
  <si>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</si>
  <si>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</si>
  <si>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</si>
  <si>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</si>
  <si>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</si>
  <si>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</si>
  <si>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</si>
  <si>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</si>
  <si>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</si>
  <si>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</si>
  <si>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</si>
  <si>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</si>
  <si>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</si>
  <si>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</si>
  <si>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</si>
  <si>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</si>
  <si>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</si>
  <si>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</si>
  <si>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</si>
  <si>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</si>
  <si>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</si>
  <si>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</si>
  <si>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</si>
  <si>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</si>
  <si>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</si>
  <si>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</si>
  <si>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</si>
  <si>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</si>
  <si>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</si>
  <si>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</si>
  <si>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</si>
  <si>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</si>
  <si>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</si>
  <si>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</si>
  <si>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</si>
  <si>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</si>
  <si>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</si>
  <si>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</si>
  <si>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</si>
  <si>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</si>
  <si>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</si>
  <si>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</si>
  <si>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</si>
  <si>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</si>
  <si>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</si>
  <si>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</si>
  <si>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</si>
  <si>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</si>
  <si>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</si>
  <si>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</si>
  <si>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</si>
  <si>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</si>
  <si>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</si>
  <si>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</si>
  <si>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</si>
  <si>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</si>
  <si>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</si>
  <si>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</si>
  <si>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</si>
  <si>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</si>
  <si>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</si>
  <si>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</si>
  <si>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</si>
  <si>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</si>
  <si>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</si>
  <si>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</si>
  <si>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</si>
  <si>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</si>
  <si>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</si>
  <si>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</si>
  <si>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</si>
  <si>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</si>
  <si>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</si>
  <si>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</si>
  <si>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</si>
  <si>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</si>
  <si>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</si>
  <si>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</si>
  <si>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</si>
  <si>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</si>
  <si>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</si>
  <si>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</si>
  <si>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</si>
  <si>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</si>
  <si>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</si>
  <si>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</si>
  <si>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</si>
  <si>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</si>
  <si>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</si>
  <si>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</si>
  <si>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</si>
  <si>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</si>
  <si>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</si>
  <si>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</si>
  <si>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</si>
  <si>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</si>
  <si>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</si>
  <si>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</si>
  <si>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</si>
  <si>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</si>
  <si>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</si>
  <si>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</si>
  <si>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</si>
  <si>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</si>
  <si>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</si>
  <si>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</si>
  <si>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</si>
  <si>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</si>
  <si>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</si>
  <si>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</si>
  <si>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</si>
  <si>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</si>
  <si>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</si>
  <si>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</si>
  <si>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</si>
  <si>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</si>
  <si>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</si>
  <si>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</si>
  <si>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</si>
  <si>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</si>
  <si>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</si>
  <si>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</si>
  <si>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</si>
  <si>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</si>
  <si>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</si>
  <si>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</si>
  <si>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</si>
  <si>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</si>
  <si>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</si>
  <si>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</si>
  <si>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</si>
  <si>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</si>
  <si>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</si>
  <si>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</si>
  <si>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</si>
  <si>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</si>
  <si>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</si>
  <si>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</si>
  <si>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</si>
  <si>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</si>
  <si>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</si>
  <si>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</si>
  <si>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</si>
  <si>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</si>
  <si>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</si>
  <si>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</si>
  <si>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</si>
  <si>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</si>
  <si>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</si>
  <si>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</si>
  <si>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</si>
  <si>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</si>
  <si>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</si>
  <si>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</si>
  <si>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</si>
  <si>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</si>
  <si>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</si>
  <si>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</si>
  <si>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</si>
  <si>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</si>
  <si>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</si>
  <si>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</si>
  <si>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</si>
  <si>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</si>
  <si>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</si>
  <si>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</si>
  <si>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</si>
  <si>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</si>
  <si>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</si>
  <si>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</si>
  <si>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</si>
  <si>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</si>
  <si>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</si>
  <si>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</si>
  <si>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</si>
  <si>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</si>
  <si>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</si>
  <si>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</si>
  <si>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</si>
  <si>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</si>
  <si>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</si>
  <si>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</si>
  <si>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</si>
  <si>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</si>
  <si>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</si>
  <si>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</si>
  <si>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</si>
  <si>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</si>
  <si>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</si>
  <si>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</si>
  <si>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</si>
  <si>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</si>
  <si>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</si>
  <si>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</si>
  <si>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</si>
  <si>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</si>
  <si>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</si>
  <si>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</si>
  <si>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</si>
  <si>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</si>
  <si>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</si>
  <si>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</si>
  <si>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</si>
  <si>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</si>
  <si>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</si>
  <si>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</si>
  <si>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</si>
  <si>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</si>
  <si>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</si>
  <si>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</si>
  <si>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</si>
  <si>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</si>
  <si>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</si>
  <si>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</si>
  <si>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</si>
  <si>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</si>
  <si>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</si>
  <si>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</si>
  <si>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</si>
  <si>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</si>
  <si>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</si>
  <si>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</si>
  <si>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</si>
  <si>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</si>
  <si>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</si>
  <si>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</si>
  <si>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</si>
  <si>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</si>
  <si>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</si>
  <si>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</si>
  <si>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</si>
  <si>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</si>
  <si>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</si>
  <si>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</si>
  <si>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</si>
  <si>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</si>
  <si>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</si>
  <si>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</si>
  <si>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</si>
  <si>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</si>
  <si>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</si>
  <si>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</si>
  <si>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</si>
  <si>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</si>
  <si>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</si>
  <si>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</si>
  <si>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</si>
  <si>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</si>
  <si>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</si>
  <si>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</si>
  <si>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</si>
  <si>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</si>
  <si>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</si>
  <si>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</si>
  <si>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</si>
  <si>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</si>
  <si>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</si>
  <si>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</si>
  <si>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</si>
  <si>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</si>
  <si>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</si>
  <si>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</si>
  <si>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</si>
  <si>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</si>
  <si>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</si>
  <si>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</si>
  <si>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</si>
  <si>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</si>
  <si>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</si>
  <si>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</si>
  <si>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</si>
  <si>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</si>
  <si>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</si>
  <si>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</si>
  <si>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</si>
  <si>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</si>
  <si>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</si>
  <si>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</si>
  <si>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</si>
  <si>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</si>
  <si>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</si>
  <si>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</si>
  <si>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</si>
  <si>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</si>
  <si>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</si>
  <si>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</si>
  <si>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</si>
  <si>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</si>
  <si>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</si>
  <si>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</si>
  <si>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</si>
  <si>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</si>
  <si>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</si>
  <si>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</si>
  <si>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</si>
  <si>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</si>
  <si>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</si>
  <si>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</si>
  <si>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</si>
  <si>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</si>
  <si>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</si>
  <si>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</si>
  <si>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</si>
  <si>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</si>
  <si>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</si>
  <si>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</si>
  <si>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</si>
  <si>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</si>
  <si>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</si>
  <si>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</si>
  <si>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</si>
  <si>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</si>
  <si>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</si>
  <si>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</si>
  <si>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</si>
  <si>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</si>
  <si>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</si>
  <si>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</si>
  <si>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</si>
  <si>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</si>
  <si>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</si>
  <si>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</si>
  <si>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</si>
  <si>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</si>
  <si>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</si>
  <si>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</si>
  <si>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</si>
  <si>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</si>
  <si>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</si>
  <si>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</si>
  <si>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</si>
  <si>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</si>
  <si>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</si>
  <si>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</si>
  <si>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</si>
  <si>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</si>
  <si>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</si>
  <si>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</si>
  <si>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</si>
  <si>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</si>
  <si>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</si>
  <si>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</si>
  <si>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</si>
  <si>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</si>
  <si>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</si>
  <si>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</si>
  <si>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</si>
  <si>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</si>
  <si>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</si>
  <si>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</si>
  <si>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</si>
  <si>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</si>
  <si>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</si>
  <si>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</si>
  <si>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</si>
  <si>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</si>
  <si>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</si>
  <si>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</si>
  <si>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</si>
  <si>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</si>
  <si>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</si>
  <si>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</si>
  <si>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</si>
  <si>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</si>
  <si>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</si>
  <si>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</si>
  <si>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</si>
  <si>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</si>
  <si>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</si>
  <si>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</si>
  <si>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</si>
  <si>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</si>
  <si>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</si>
  <si>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</si>
  <si>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</si>
  <si>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</si>
  <si>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</si>
  <si>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</si>
  <si>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</si>
  <si>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</si>
  <si>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</si>
  <si>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</si>
  <si>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</si>
  <si>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</si>
  <si>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</si>
  <si>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</si>
  <si>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</si>
  <si>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</si>
  <si>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</si>
  <si>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</si>
  <si>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</si>
  <si>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</si>
  <si>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</si>
  <si>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</si>
  <si>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</si>
  <si>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</si>
  <si>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</si>
  <si>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</si>
  <si>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</si>
  <si>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</si>
  <si>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</si>
  <si>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</si>
  <si>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</si>
  <si>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</si>
  <si>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</si>
  <si>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</si>
  <si>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</si>
  <si>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</si>
  <si>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</si>
  <si>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</si>
  <si>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</si>
  <si>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</si>
  <si>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</si>
  <si>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</si>
  <si>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</si>
  <si>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</si>
  <si>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</si>
  <si>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</si>
  <si>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</si>
  <si>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</si>
  <si>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</si>
  <si>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</si>
  <si>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</si>
  <si>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</si>
  <si>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</si>
  <si>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</si>
  <si>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</si>
  <si>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</si>
  <si>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</si>
  <si>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</si>
  <si>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</si>
  <si>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</si>
  <si>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</si>
  <si>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</si>
  <si>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</si>
  <si>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</si>
  <si>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</si>
  <si>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</si>
  <si>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</si>
  <si>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</si>
  <si>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</si>
  <si>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</si>
  <si>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</si>
  <si>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</si>
  <si>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</si>
  <si>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</si>
  <si>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</si>
  <si>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</si>
  <si>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</si>
  <si>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</si>
  <si>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</si>
  <si>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</si>
  <si>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</si>
  <si>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</si>
  <si>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</si>
  <si>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</si>
  <si>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</si>
  <si>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</si>
  <si>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</si>
  <si>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</si>
  <si>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</si>
  <si>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</si>
  <si>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</si>
  <si>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</si>
  <si>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</si>
  <si>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</si>
  <si>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</si>
  <si>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</si>
  <si>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</si>
  <si>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</si>
  <si>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</si>
  <si>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</si>
  <si>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</si>
  <si>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</si>
  <si>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</si>
  <si>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</si>
  <si>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</si>
  <si>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</si>
  <si>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</si>
  <si>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</si>
  <si>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</si>
  <si>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</si>
  <si>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</si>
  <si>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</si>
  <si>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</si>
  <si>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</si>
  <si>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</si>
  <si>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</si>
  <si>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</si>
  <si>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</si>
  <si>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</si>
  <si>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</si>
  <si>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</si>
  <si>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</si>
  <si>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</si>
  <si>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</si>
  <si>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</si>
  <si>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</si>
  <si>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</si>
  <si>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</si>
  <si>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</si>
  <si>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</si>
  <si>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</si>
  <si>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</si>
  <si>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</si>
  <si>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</si>
  <si>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</si>
  <si>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</si>
  <si>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</si>
  <si>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</si>
  <si>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</si>
  <si>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</si>
  <si>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</si>
  <si>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</si>
  <si>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</si>
  <si>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</si>
  <si>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</si>
  <si>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</si>
  <si>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</si>
  <si>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</si>
  <si>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</si>
  <si>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</si>
  <si>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</si>
  <si>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</si>
  <si>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</si>
  <si>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</si>
  <si>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</si>
  <si>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</si>
  <si>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</si>
  <si>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</si>
  <si>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</si>
  <si>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</si>
  <si>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</si>
  <si>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</si>
  <si>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</si>
  <si>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</si>
  <si>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</si>
  <si>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</si>
  <si>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</si>
  <si>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</si>
  <si>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</si>
  <si>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</si>
  <si>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</si>
  <si>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</si>
  <si>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</si>
  <si>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</si>
  <si>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</si>
  <si>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</si>
  <si>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</si>
  <si>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</si>
  <si>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</si>
  <si>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</si>
  <si>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</si>
  <si>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</si>
  <si>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</si>
  <si>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</si>
  <si>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</si>
  <si>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</si>
  <si>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</si>
  <si>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</si>
  <si>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</si>
  <si>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</si>
  <si>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</si>
  <si>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</si>
  <si>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</si>
  <si>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</si>
  <si>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</si>
  <si>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</si>
  <si>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</si>
  <si>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</si>
  <si>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</si>
  <si>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</si>
  <si>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</si>
  <si>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</si>
  <si>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</si>
  <si>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</si>
  <si>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</si>
  <si>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</si>
  <si>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</si>
  <si>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</si>
  <si>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</si>
  <si>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</si>
  <si>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</si>
  <si>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</si>
  <si>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</si>
  <si>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</si>
  <si>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</si>
  <si>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</si>
  <si>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</si>
  <si>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</si>
  <si>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</si>
  <si>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</si>
  <si>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</si>
  <si>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</si>
  <si>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</si>
  <si>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</si>
  <si>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</si>
  <si>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</si>
  <si>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</si>
  <si>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</si>
  <si>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</si>
  <si>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</si>
  <si>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</si>
  <si>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</si>
  <si>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</si>
  <si>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</si>
  <si>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</si>
  <si>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</si>
  <si>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</si>
  <si>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</si>
  <si>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</si>
  <si>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</si>
  <si>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</si>
  <si>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</si>
  <si>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</si>
  <si>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</si>
  <si>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</si>
  <si>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</si>
  <si>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</si>
  <si>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</si>
  <si>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</si>
  <si>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</si>
  <si>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</si>
  <si>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</si>
  <si>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</si>
  <si>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</si>
  <si>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</si>
  <si>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</si>
  <si>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</si>
  <si>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</si>
  <si>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</si>
  <si>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</si>
  <si>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</si>
  <si>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</si>
  <si>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</si>
  <si>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</si>
  <si>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</si>
  <si>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</si>
  <si>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</si>
  <si>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</si>
  <si>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</si>
  <si>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</si>
  <si>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</si>
  <si>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</si>
  <si>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</si>
  <si>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</si>
  <si>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</si>
  <si>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</si>
  <si>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</si>
  <si>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</si>
  <si>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</si>
  <si>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</si>
  <si>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</si>
  <si>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</si>
  <si>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</si>
  <si>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</si>
  <si>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</si>
  <si>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</si>
  <si>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</si>
  <si>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</si>
  <si>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</si>
  <si>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</si>
  <si>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</si>
  <si>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</si>
  <si>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</si>
  <si>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</si>
  <si>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</si>
  <si>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</si>
  <si>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</si>
  <si>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</si>
  <si>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</si>
  <si>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</si>
  <si>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</si>
  <si>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</si>
  <si>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</si>
  <si>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</si>
  <si>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</si>
  <si>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</si>
  <si>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</si>
  <si>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</si>
  <si>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</si>
  <si>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</si>
  <si>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</si>
  <si>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</si>
  <si>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</si>
  <si>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</si>
  <si>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</si>
  <si>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</si>
  <si>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</si>
  <si>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</si>
  <si>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</si>
  <si>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</si>
  <si>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</si>
  <si>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</si>
  <si>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</si>
  <si>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</si>
  <si>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</si>
  <si>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</si>
  <si>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</si>
  <si>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</si>
  <si>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</si>
  <si>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</si>
  <si>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</si>
  <si>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</si>
  <si>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</si>
  <si>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</si>
  <si>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</si>
  <si>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</si>
  <si>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</si>
  <si>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</si>
  <si>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</si>
  <si>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</si>
  <si>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</si>
  <si>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</si>
  <si>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</si>
  <si>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</si>
  <si>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</si>
  <si>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</si>
  <si>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</si>
  <si>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</si>
  <si>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</si>
  <si>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</si>
  <si>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</si>
  <si>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</si>
  <si>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</si>
  <si>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</si>
  <si>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</si>
  <si>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</si>
  <si>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</si>
  <si>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</si>
  <si>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</si>
  <si>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</si>
  <si>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</si>
  <si>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</si>
  <si>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</si>
  <si>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</si>
  <si>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</si>
  <si>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</si>
  <si>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</si>
  <si>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</si>
  <si>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</si>
  <si>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</si>
  <si>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</si>
  <si>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</si>
  <si>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</si>
  <si>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</si>
  <si>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</si>
  <si>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</si>
  <si>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</si>
  <si>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</si>
  <si>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</si>
  <si>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</si>
  <si>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</si>
  <si>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</si>
  <si>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</si>
  <si>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</si>
  <si>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</si>
  <si>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</si>
  <si>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</si>
  <si>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</si>
  <si>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</si>
  <si>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</si>
  <si>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</si>
  <si>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</si>
  <si>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</si>
  <si>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</si>
  <si>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</si>
  <si>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</si>
  <si>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</si>
  <si>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</si>
  <si>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</si>
  <si>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</si>
  <si>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</si>
  <si>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</si>
  <si>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</si>
  <si>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</si>
  <si>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</si>
  <si>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</si>
  <si>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</si>
  <si>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</si>
  <si>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</si>
  <si>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</si>
  <si>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</si>
  <si>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</si>
  <si>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</si>
  <si>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</si>
  <si>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</si>
  <si>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</si>
  <si>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</si>
  <si>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</si>
  <si>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</si>
  <si>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</si>
  <si>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</si>
  <si>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</si>
  <si>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</si>
  <si>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</si>
  <si>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</si>
  <si>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</si>
  <si>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</si>
  <si>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</si>
  <si>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</si>
  <si>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</si>
  <si>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</si>
  <si>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</si>
  <si>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</si>
  <si>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</si>
  <si>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</si>
  <si>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</si>
  <si>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</si>
  <si>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</si>
  <si>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</si>
  <si>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</si>
  <si>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</si>
  <si>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</si>
  <si>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</si>
  <si>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</si>
  <si>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</si>
  <si>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</si>
  <si>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</si>
  <si>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</si>
  <si>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</si>
  <si>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</si>
  <si>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</si>
  <si>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</si>
  <si>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</si>
  <si>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</si>
  <si>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</si>
  <si>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</si>
  <si>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</si>
  <si>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</si>
  <si>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</si>
  <si>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</si>
  <si>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</si>
  <si>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</si>
  <si>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</si>
  <si>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</si>
  <si>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</si>
  <si>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</si>
  <si>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</si>
  <si>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</si>
  <si>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</si>
  <si>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</si>
  <si>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</si>
  <si>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</si>
  <si>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</si>
  <si>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</si>
  <si>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</si>
  <si>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</si>
  <si>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</si>
  <si>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</si>
  <si>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</si>
  <si>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</si>
  <si>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</si>
  <si>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</si>
  <si>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</si>
  <si>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</si>
  <si>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</si>
  <si>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</si>
  <si>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</si>
  <si>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</si>
  <si>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</si>
  <si>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</si>
  <si>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</si>
  <si>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</si>
  <si>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</si>
  <si>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</si>
  <si>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</si>
  <si>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</si>
  <si>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</si>
  <si>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</si>
  <si>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</si>
  <si>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</si>
  <si>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</si>
  <si>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</si>
  <si>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</si>
  <si>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</si>
  <si>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</si>
  <si>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</si>
  <si>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</si>
  <si>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</si>
  <si>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</si>
  <si>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</si>
  <si>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</si>
  <si>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</si>
  <si>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</si>
  <si>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</si>
  <si>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</si>
  <si>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</si>
  <si>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</si>
  <si>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</si>
  <si>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</si>
  <si>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</si>
  <si>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</si>
  <si>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</si>
  <si>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</si>
  <si>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</si>
  <si>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</si>
  <si>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</si>
  <si>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</si>
  <si>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</si>
  <si>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</si>
  <si>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</si>
  <si>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</si>
  <si>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</si>
  <si>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</si>
  <si>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</si>
  <si>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</si>
  <si>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</si>
  <si>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</si>
  <si>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</si>
  <si>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</si>
  <si>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</si>
  <si>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</si>
  <si>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</si>
  <si>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</si>
  <si>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</si>
  <si>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</si>
  <si>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</si>
  <si>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</si>
  <si>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</si>
  <si>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</si>
  <si>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</si>
  <si>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</si>
  <si>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</si>
  <si>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</si>
  <si>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</si>
  <si>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</si>
  <si>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</si>
  <si>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</si>
  <si>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</si>
  <si>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</si>
  <si>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</si>
  <si>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</si>
  <si>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</si>
  <si>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</si>
  <si>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</si>
  <si>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</si>
  <si>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</si>
  <si>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</si>
  <si>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</si>
  <si>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</si>
  <si>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</si>
  <si>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</si>
  <si>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</si>
  <si>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</si>
  <si>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</si>
  <si>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</si>
  <si>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</si>
  <si>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</si>
  <si>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</si>
  <si>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</si>
  <si>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</si>
  <si>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</si>
  <si>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</si>
  <si>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</si>
  <si>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</si>
  <si>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</si>
  <si>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</si>
  <si>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</si>
  <si>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</si>
  <si>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</si>
  <si>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</si>
  <si>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</si>
  <si>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</si>
  <si>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</si>
  <si>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</si>
  <si>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</si>
  <si>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</si>
  <si>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</si>
  <si>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</si>
  <si>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</si>
  <si>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</si>
  <si>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</si>
  <si>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</si>
  <si>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</si>
  <si>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</si>
  <si>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</si>
  <si>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</si>
  <si>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</si>
  <si>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</si>
  <si>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</si>
  <si>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</si>
  <si>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</si>
  <si>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</si>
  <si>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</si>
  <si>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</si>
  <si>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</si>
  <si>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</si>
  <si>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</si>
  <si>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</si>
  <si>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</si>
  <si>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</si>
  <si>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</si>
  <si>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</si>
  <si>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</si>
  <si>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</si>
  <si>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</si>
  <si>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</si>
  <si>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</si>
  <si>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</si>
  <si>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</si>
  <si>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</si>
  <si>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</si>
  <si>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</si>
  <si>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</si>
  <si>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</si>
  <si>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</si>
  <si>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</si>
  <si>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</si>
  <si>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</si>
  <si>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</si>
  <si>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</si>
  <si>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</si>
  <si>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</si>
  <si>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</si>
  <si>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</si>
  <si>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</si>
  <si>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</si>
  <si>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</si>
  <si>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</si>
  <si>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</si>
  <si>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</si>
  <si>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</si>
  <si>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</si>
  <si>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</si>
  <si>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</si>
  <si>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</si>
  <si>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</si>
  <si>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</si>
  <si>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</si>
  <si>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</si>
  <si>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</si>
  <si>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</si>
  <si>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</si>
  <si>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</si>
  <si>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</si>
  <si>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</si>
  <si>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</si>
  <si>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</si>
  <si>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</si>
  <si>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</si>
  <si>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</si>
  <si>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</si>
  <si>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</si>
  <si>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</si>
  <si>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</si>
  <si>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</si>
  <si>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</si>
  <si>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</si>
  <si>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</si>
  <si>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</si>
  <si>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</si>
  <si>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</si>
  <si>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</si>
  <si>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</si>
  <si>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</si>
  <si>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</si>
  <si>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</si>
  <si>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</si>
  <si>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</si>
  <si>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</si>
  <si>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</si>
  <si>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</si>
  <si>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</si>
  <si>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</si>
  <si>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</si>
  <si>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</si>
  <si>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</si>
  <si>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</si>
  <si>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</si>
  <si>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</si>
  <si>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</si>
  <si>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</si>
  <si>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</si>
  <si>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</si>
  <si>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</si>
  <si>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</si>
  <si>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</si>
  <si>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</si>
  <si>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</si>
  <si>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</si>
  <si>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</si>
  <si>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</si>
  <si>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</si>
  <si>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</si>
  <si>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</si>
  <si>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</si>
  <si>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</si>
  <si>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</si>
  <si>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</si>
  <si>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</si>
  <si>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</si>
  <si>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</si>
  <si>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</si>
  <si>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</si>
  <si>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</si>
  <si>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</si>
  <si>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</si>
  <si>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</si>
  <si>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</si>
  <si>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</si>
  <si>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</si>
  <si>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</si>
  <si>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</si>
  <si>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</si>
  <si>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</si>
  <si>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</si>
  <si>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</si>
  <si>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</si>
  <si>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</si>
  <si>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</si>
  <si>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</si>
  <si>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</si>
  <si>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</si>
  <si>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</si>
  <si>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</si>
  <si>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</si>
  <si>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</si>
  <si>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</si>
  <si>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</si>
  <si>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</si>
  <si>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</si>
  <si>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</si>
  <si>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</si>
  <si>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</si>
  <si>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</si>
  <si>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</si>
  <si>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</si>
  <si>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</si>
  <si>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</si>
  <si>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</si>
  <si>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</si>
  <si>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</si>
  <si>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</si>
  <si>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</si>
  <si>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</si>
  <si>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</si>
  <si>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</si>
  <si>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</si>
  <si>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</si>
  <si>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</si>
  <si>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</si>
  <si>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</si>
  <si>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</si>
  <si>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</si>
  <si>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</si>
  <si>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</si>
  <si>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</si>
  <si>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</si>
  <si>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</si>
  <si>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</si>
  <si>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</si>
  <si>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</si>
  <si>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</si>
  <si>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</si>
  <si>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</si>
  <si>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</si>
  <si>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</si>
  <si>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</si>
  <si>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</si>
  <si>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</si>
  <si>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</si>
  <si>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</si>
  <si>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</si>
  <si>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</si>
  <si>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</si>
  <si>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</si>
  <si>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</si>
  <si>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</si>
  <si>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</si>
  <si>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</si>
  <si>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</si>
  <si>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</si>
  <si>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</si>
  <si>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</si>
  <si>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</si>
  <si>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</si>
  <si>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</si>
  <si>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</si>
  <si>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</si>
  <si>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</si>
  <si>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</si>
  <si>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</si>
  <si>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</si>
  <si>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</si>
  <si>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</si>
  <si>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</si>
  <si>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</si>
  <si>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</si>
  <si>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</si>
  <si>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</si>
  <si>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</si>
  <si>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</si>
  <si>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</si>
  <si>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</si>
  <si>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</si>
  <si>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</si>
  <si>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</si>
  <si>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</si>
  <si>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</si>
  <si>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</si>
  <si>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</si>
  <si>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</si>
  <si>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</si>
  <si>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</si>
  <si>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</si>
  <si>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</si>
  <si>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</si>
  <si>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</si>
  <si>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</si>
  <si>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</si>
  <si>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</si>
  <si>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</si>
  <si>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</si>
  <si>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</si>
  <si>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</si>
  <si>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</si>
  <si>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</si>
  <si>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</si>
  <si>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</si>
  <si>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</si>
  <si>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</si>
  <si>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</si>
  <si>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</si>
  <si>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</si>
  <si>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</si>
  <si>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</si>
  <si>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</si>
  <si>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</si>
  <si>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</si>
  <si>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</si>
  <si>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</si>
  <si>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</si>
  <si>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</si>
  <si>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</si>
  <si>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</si>
  <si>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</si>
  <si>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</si>
  <si>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</si>
  <si>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</si>
  <si>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</si>
  <si>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</si>
  <si>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</si>
  <si>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</si>
  <si>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</si>
  <si>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</si>
  <si>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</si>
  <si>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</si>
  <si>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</si>
  <si>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</si>
  <si>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</si>
  <si>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</si>
  <si>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</si>
  <si>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</si>
  <si>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</si>
  <si>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</si>
  <si>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</si>
  <si>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</si>
  <si>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</si>
  <si>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</si>
  <si>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</si>
  <si>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</si>
  <si>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</si>
  <si>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</si>
  <si>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</si>
  <si>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</si>
  <si>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</si>
  <si>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</si>
  <si>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</si>
  <si>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</si>
  <si>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</si>
  <si>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</si>
  <si>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</si>
  <si>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</si>
  <si>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</si>
  <si>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</si>
  <si>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</si>
  <si>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</si>
  <si>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</si>
  <si>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</si>
  <si>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</si>
  <si>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</si>
  <si>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</si>
  <si>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</si>
  <si>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</si>
  <si>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</si>
  <si>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</si>
  <si>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</si>
  <si>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</si>
  <si>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</si>
  <si>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</si>
  <si>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</si>
  <si>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</si>
  <si>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</si>
  <si>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</si>
  <si>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</si>
  <si>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</si>
  <si>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</si>
  <si>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</si>
  <si>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</si>
  <si>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</si>
  <si>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</si>
  <si>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</si>
  <si>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</si>
  <si>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</si>
  <si>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</si>
  <si>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</si>
  <si>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</si>
  <si>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</si>
  <si>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</si>
  <si>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</si>
  <si>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</si>
  <si>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</si>
  <si>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</si>
  <si>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</si>
  <si>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</si>
  <si>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</si>
  <si>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</si>
  <si>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</si>
  <si>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</si>
  <si>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</si>
  <si>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</si>
  <si>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</si>
  <si>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</si>
  <si>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</si>
  <si>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</si>
  <si>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</si>
  <si>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</si>
  <si>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</si>
  <si>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</si>
  <si>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</si>
  <si>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</si>
  <si>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</si>
  <si>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</si>
  <si>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</si>
  <si>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</si>
  <si>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</si>
  <si>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</si>
  <si>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</si>
  <si>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</si>
  <si>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</si>
  <si>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</si>
  <si>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</si>
  <si>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</si>
  <si>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</si>
  <si>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</si>
  <si>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</si>
  <si>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</si>
  <si>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</si>
  <si>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</si>
  <si>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</si>
  <si>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</si>
  <si>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</si>
  <si>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</si>
  <si>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</si>
  <si>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</si>
  <si>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</si>
  <si>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</si>
  <si>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</si>
  <si>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</si>
  <si>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</si>
  <si>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</si>
  <si>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</si>
  <si>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</si>
  <si>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</si>
  <si>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</si>
  <si>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</si>
  <si>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</si>
  <si>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</si>
  <si>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</si>
  <si>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</si>
  <si>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</si>
  <si>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</si>
  <si>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</si>
  <si>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</si>
  <si>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</si>
  <si>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</si>
  <si>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</si>
  <si>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</si>
  <si>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</si>
  <si>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</si>
  <si>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</si>
  <si>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</si>
  <si>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</si>
  <si>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</si>
  <si>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</si>
  <si>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</si>
  <si>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</si>
  <si>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</si>
  <si>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</si>
  <si>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</si>
  <si>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</si>
  <si>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</si>
  <si>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</si>
  <si>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</si>
  <si>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</si>
  <si>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</si>
  <si>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</si>
  <si>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</si>
  <si>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</si>
  <si>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</si>
  <si>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</si>
  <si>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</si>
  <si>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</si>
  <si>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</si>
  <si>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</si>
  <si>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</si>
  <si>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</si>
  <si>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</si>
  <si>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</si>
  <si>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</si>
  <si>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</si>
  <si>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</si>
  <si>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</si>
  <si>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</si>
  <si>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</si>
  <si>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</si>
  <si>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</si>
  <si>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</si>
  <si>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</si>
  <si>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</si>
  <si>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</si>
  <si>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</si>
  <si>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</si>
  <si>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</si>
  <si>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</si>
  <si>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</si>
  <si>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</si>
  <si>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</si>
  <si>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</si>
  <si>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</si>
  <si>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</si>
  <si>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</si>
  <si>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</si>
  <si>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</si>
  <si>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</si>
  <si>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</si>
  <si>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</si>
  <si>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</si>
  <si>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</si>
  <si>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</si>
  <si>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</si>
  <si>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</si>
  <si>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</si>
  <si>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</si>
  <si>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</si>
  <si>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</si>
  <si>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</si>
  <si>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</si>
  <si>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</si>
  <si>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</si>
  <si>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</si>
  <si>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</si>
  <si>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</si>
  <si>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</si>
  <si>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</si>
  <si>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</si>
  <si>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</si>
  <si>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</si>
  <si>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</si>
  <si>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</si>
  <si>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</si>
  <si>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</si>
  <si>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</si>
  <si>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</si>
  <si>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</si>
  <si>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</si>
  <si>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</si>
  <si>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</si>
  <si>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</si>
  <si>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</si>
  <si>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</si>
  <si>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</si>
  <si>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</si>
  <si>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</si>
  <si>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</si>
  <si>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</si>
  <si>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</si>
  <si>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</si>
  <si>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</si>
  <si>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</si>
  <si>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</si>
  <si>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</si>
  <si>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</si>
  <si>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</si>
  <si>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</si>
  <si>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</si>
  <si>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</si>
  <si>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</si>
  <si>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</si>
  <si>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</si>
  <si>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</si>
  <si>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</si>
  <si>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</si>
  <si>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</si>
  <si>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</si>
  <si>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</si>
  <si>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</si>
  <si>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</si>
  <si>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</si>
  <si>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</si>
  <si>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</si>
  <si>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</si>
  <si>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</si>
  <si>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</si>
  <si>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</si>
  <si>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</si>
  <si>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</si>
  <si>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</si>
  <si>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</si>
  <si>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</si>
  <si>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</si>
  <si>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</si>
  <si>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</si>
  <si>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</si>
  <si>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</si>
  <si>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</si>
  <si>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</si>
  <si>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</si>
  <si>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</si>
  <si>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</si>
  <si>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</si>
  <si>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</si>
  <si>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</si>
  <si>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</si>
  <si>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</si>
  <si>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</si>
  <si>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</si>
  <si>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</si>
  <si>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</si>
  <si>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</si>
  <si>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</si>
  <si>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</si>
  <si>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</si>
  <si>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</si>
  <si>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</si>
  <si>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</si>
  <si>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</si>
  <si>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</si>
  <si>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</si>
  <si>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</si>
  <si>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</si>
  <si>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</si>
  <si>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</si>
  <si>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</si>
  <si>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</si>
  <si>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</si>
  <si>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</si>
  <si>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</si>
  <si>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</si>
  <si>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</si>
  <si>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</si>
  <si>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</si>
  <si>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</si>
  <si>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</si>
  <si>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</si>
  <si>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</si>
  <si>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</si>
  <si>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</si>
  <si>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</si>
  <si>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</si>
  <si>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</si>
  <si>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</si>
  <si>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</si>
  <si>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</si>
  <si>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</si>
  <si>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</si>
  <si>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</si>
  <si>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</si>
  <si>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</si>
  <si>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</si>
  <si>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</si>
  <si>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</si>
  <si>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</si>
  <si>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</si>
  <si>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</si>
  <si>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</si>
  <si>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</si>
  <si>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</si>
  <si>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</si>
  <si>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</si>
  <si>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</si>
  <si>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</si>
  <si>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</si>
  <si>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</si>
  <si>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</si>
  <si>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</si>
  <si>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</si>
  <si>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</si>
  <si>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</si>
  <si>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</si>
  <si>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</si>
  <si>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</si>
  <si>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</si>
  <si>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</si>
  <si>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</si>
  <si>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</si>
  <si>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</si>
  <si>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</si>
  <si>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</si>
  <si>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</si>
  <si>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</si>
  <si>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</si>
  <si>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</si>
  <si>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</si>
  <si>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</si>
  <si>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</si>
  <si>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</si>
  <si>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</si>
  <si>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</si>
  <si>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</si>
  <si>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</si>
  <si>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</si>
  <si>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</si>
  <si>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</si>
  <si>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</si>
  <si>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</si>
  <si>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</si>
  <si>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</si>
  <si>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</si>
  <si>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</si>
  <si>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</si>
  <si>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</si>
  <si>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</si>
  <si>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</si>
  <si>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</si>
  <si>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</si>
  <si>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</si>
  <si>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</si>
  <si>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</si>
  <si>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</si>
  <si>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</si>
  <si>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</si>
  <si>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</si>
  <si>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</si>
  <si>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</si>
  <si>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</si>
  <si>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</si>
  <si>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</si>
  <si>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</si>
  <si>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</si>
  <si>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</si>
  <si>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</si>
  <si>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</si>
  <si>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</si>
  <si>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</si>
  <si>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</si>
  <si>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</si>
  <si>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</si>
  <si>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</si>
  <si>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</si>
  <si>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</si>
  <si>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</si>
  <si>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</si>
  <si>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</si>
  <si>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</si>
  <si>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</si>
  <si>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</si>
  <si>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</si>
  <si>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</si>
  <si>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</si>
  <si>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</si>
  <si>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</si>
  <si>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</si>
  <si>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</si>
  <si>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</si>
  <si>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</si>
  <si>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</si>
  <si>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</si>
  <si>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</si>
  <si>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</si>
  <si>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</si>
  <si>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</si>
  <si>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</si>
  <si>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</si>
  <si>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</si>
  <si>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</si>
  <si>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</si>
  <si>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</si>
  <si>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</si>
  <si>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</si>
  <si>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</si>
  <si>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</si>
  <si>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</si>
  <si>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</si>
  <si>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</si>
  <si>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</si>
  <si>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</si>
  <si>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</si>
  <si>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</si>
  <si>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</si>
  <si>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</si>
  <si>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</si>
  <si>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</si>
  <si>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</si>
  <si>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</si>
  <si>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</si>
  <si>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</si>
  <si>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</si>
  <si>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</si>
  <si>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</si>
  <si>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</si>
  <si>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</si>
  <si>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</si>
  <si>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</si>
  <si>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</si>
  <si>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</si>
  <si>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</si>
  <si>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</si>
  <si>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</si>
  <si>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</si>
  <si>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</si>
  <si>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</si>
  <si>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</si>
  <si>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</si>
  <si>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</si>
  <si>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</si>
  <si>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</si>
  <si>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</si>
  <si>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</si>
  <si>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</si>
  <si>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</si>
  <si>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</si>
  <si>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</si>
  <si>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</si>
  <si>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</si>
  <si>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</si>
  <si>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</si>
  <si>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</si>
  <si>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</si>
  <si>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</si>
  <si>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</si>
  <si>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</si>
  <si>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</si>
  <si>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</si>
  <si>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</si>
  <si>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</si>
  <si>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</si>
  <si>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</si>
  <si>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</si>
  <si>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</si>
  <si>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</si>
  <si>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</si>
  <si>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</si>
  <si>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</si>
  <si>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</si>
  <si>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</si>
  <si>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</si>
  <si>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</si>
  <si>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</si>
  <si>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</si>
  <si>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</si>
  <si>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</si>
  <si>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</si>
  <si>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</si>
  <si>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</si>
  <si>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</si>
  <si>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</si>
  <si>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</si>
  <si>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</si>
  <si>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</si>
  <si>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</si>
  <si>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</si>
  <si>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</si>
  <si>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</si>
  <si>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</si>
  <si>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</si>
  <si>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</si>
  <si>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</si>
  <si>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</si>
  <si>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</si>
  <si>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</si>
  <si>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</si>
  <si>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</si>
  <si>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</si>
  <si>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</si>
  <si>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</si>
  <si>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</si>
  <si>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</si>
  <si>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</si>
  <si>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</si>
  <si>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</si>
  <si>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</si>
  <si>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</si>
  <si>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</si>
  <si>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</si>
  <si>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</si>
  <si>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</si>
  <si>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</si>
  <si>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</si>
  <si>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</si>
  <si>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</si>
  <si>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</si>
  <si>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</si>
  <si>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</si>
  <si>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</si>
  <si>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</si>
  <si>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</si>
  <si>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</si>
  <si>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</si>
  <si>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</si>
  <si>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</si>
  <si>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</si>
  <si>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</si>
  <si>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</si>
  <si>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</si>
  <si>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</si>
  <si>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</si>
  <si>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</si>
  <si>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</si>
  <si>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</si>
  <si>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</si>
  <si>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</si>
  <si>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</si>
  <si>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</si>
  <si>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</si>
  <si>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</si>
  <si>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</si>
  <si>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</si>
  <si>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</si>
  <si>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</si>
  <si>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</si>
  <si>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</si>
  <si>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</si>
  <si>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</si>
  <si>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</si>
  <si>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</si>
  <si>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</si>
  <si>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</si>
  <si>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</si>
  <si>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</si>
  <si>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</si>
  <si>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</si>
  <si>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</si>
  <si>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</si>
  <si>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</si>
  <si>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</si>
  <si>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</si>
  <si>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</si>
  <si>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</si>
  <si>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</si>
  <si>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</si>
  <si>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</si>
  <si>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</si>
  <si>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</si>
  <si>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</si>
  <si>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</si>
  <si>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</si>
  <si>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</si>
  <si>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</si>
  <si>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</si>
  <si>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</si>
  <si>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</si>
  <si>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</si>
  <si>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</si>
  <si>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</si>
  <si>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</si>
  <si>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</si>
  <si>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</si>
  <si>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</si>
  <si>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</si>
  <si>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</si>
  <si>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</si>
  <si>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</si>
  <si>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</si>
  <si>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</si>
  <si>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</si>
  <si>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</si>
  <si>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</si>
  <si>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</si>
  <si>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</si>
  <si>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</si>
  <si>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</si>
  <si>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</si>
  <si>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</si>
  <si>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</si>
  <si>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</si>
  <si>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</si>
  <si>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</si>
  <si>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</si>
  <si>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</si>
  <si>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</si>
  <si>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</si>
  <si>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</si>
  <si>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</si>
  <si>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</si>
  <si>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</si>
  <si>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</si>
  <si>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</si>
  <si>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</si>
  <si>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</si>
  <si>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</si>
  <si>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</si>
  <si>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</si>
  <si>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</si>
  <si>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</si>
  <si>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</si>
  <si>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</si>
  <si>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</si>
  <si>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</si>
  <si>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</si>
  <si>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</si>
  <si>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</si>
  <si>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</si>
  <si>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</si>
  <si>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</si>
  <si>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</si>
  <si>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</si>
  <si>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</si>
  <si>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</si>
  <si>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</si>
  <si>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</si>
  <si>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</si>
  <si>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</si>
  <si>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</si>
  <si>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</si>
  <si>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</si>
  <si>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</si>
  <si>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</si>
  <si>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</si>
  <si>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</si>
  <si>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</si>
  <si>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</si>
  <si>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</si>
  <si>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</si>
  <si>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</si>
  <si>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</si>
  <si>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</si>
  <si>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</si>
  <si>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</si>
  <si>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</si>
  <si>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</si>
  <si>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</si>
  <si>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</si>
  <si>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</si>
  <si>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</si>
  <si>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</si>
  <si>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</si>
  <si>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</si>
  <si>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</si>
  <si>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</si>
  <si>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</si>
  <si>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</si>
  <si>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</si>
  <si>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</si>
  <si>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</si>
  <si>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</si>
  <si>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</si>
  <si>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</si>
  <si>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</si>
  <si>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</si>
  <si>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</si>
  <si>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</si>
  <si>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</si>
  <si>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</si>
  <si>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</si>
  <si>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</si>
  <si>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</si>
  <si>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</si>
  <si>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</si>
  <si>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</si>
  <si>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</si>
  <si>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</si>
  <si>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</si>
  <si>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</si>
  <si>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</si>
  <si>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</si>
  <si>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</si>
  <si>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</si>
  <si>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</si>
  <si>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</si>
  <si>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</si>
  <si>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</si>
  <si>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</si>
  <si>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</si>
  <si>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</si>
  <si>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</si>
  <si>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</si>
  <si>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</si>
  <si>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</si>
  <si>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</si>
  <si>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</si>
  <si>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</si>
  <si>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</si>
  <si>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</si>
  <si>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</si>
  <si>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</si>
  <si>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</si>
  <si>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</si>
  <si>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</si>
  <si>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</si>
  <si>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</si>
  <si>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</si>
  <si>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</si>
  <si>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</si>
  <si>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</si>
  <si>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</si>
  <si>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</si>
  <si>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</si>
  <si>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</si>
  <si>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</si>
  <si>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</si>
  <si>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</si>
  <si>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</si>
  <si>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</si>
  <si>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</si>
  <si>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</si>
  <si>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</si>
  <si>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</si>
  <si>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</si>
  <si>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</si>
  <si>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</si>
  <si>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</si>
  <si>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</si>
  <si>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</si>
  <si>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</si>
  <si>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</si>
  <si>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</si>
  <si>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</si>
  <si>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</si>
  <si>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</si>
  <si>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</si>
  <si>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</si>
  <si>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</si>
  <si>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</si>
  <si>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</si>
  <si>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</si>
  <si>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</si>
  <si>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</si>
  <si>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</si>
  <si>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</si>
  <si>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</si>
  <si>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</si>
  <si>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</si>
  <si>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</si>
  <si>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</si>
  <si>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</si>
  <si>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</si>
  <si>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</si>
  <si>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</si>
  <si>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</si>
  <si>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</si>
  <si>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</si>
  <si>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</si>
  <si>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</si>
  <si>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</si>
  <si>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</si>
  <si>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</si>
  <si>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</si>
  <si>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</si>
  <si>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</si>
  <si>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</si>
  <si>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</si>
  <si>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</si>
  <si>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</si>
  <si>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</si>
  <si>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</si>
  <si>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</si>
  <si>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</si>
  <si>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</si>
  <si>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</si>
  <si>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</si>
  <si>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</si>
  <si>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</si>
  <si>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</si>
  <si>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</si>
  <si>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</si>
  <si>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</si>
  <si>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</si>
  <si>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</si>
  <si>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</si>
  <si>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</si>
  <si>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</si>
  <si>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</si>
  <si>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</si>
  <si>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</si>
  <si>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</si>
  <si>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</si>
  <si>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</si>
  <si>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</si>
  <si>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</si>
  <si>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</si>
  <si>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</si>
  <si>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</si>
  <si>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</si>
  <si>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</si>
  <si>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</si>
  <si>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</si>
  <si>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</si>
  <si>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</si>
  <si>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</si>
  <si>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</si>
  <si>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</si>
  <si>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</si>
  <si>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</si>
  <si>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</si>
  <si>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</si>
  <si>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</si>
  <si>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</si>
  <si>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</si>
  <si>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</si>
  <si>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</si>
  <si>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</si>
  <si>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</si>
  <si>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</si>
  <si>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</si>
  <si>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</si>
  <si>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</si>
  <si>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</si>
  <si>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</si>
  <si>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</si>
  <si>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</si>
  <si>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</si>
  <si>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</si>
  <si>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</si>
  <si>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</si>
  <si>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</si>
  <si>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</si>
  <si>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</si>
  <si>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</si>
  <si>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</si>
  <si>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</si>
  <si>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</si>
  <si>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</si>
  <si>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</si>
  <si>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</si>
  <si>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</si>
  <si>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</si>
  <si>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</si>
  <si>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</si>
  <si>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</si>
  <si>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</si>
  <si>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</si>
  <si>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</si>
  <si>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</si>
  <si>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</si>
  <si>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</si>
  <si>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</si>
  <si>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</si>
  <si>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</si>
  <si>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</si>
  <si>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</si>
  <si>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</si>
  <si>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</si>
  <si>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</si>
  <si>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</si>
  <si>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</si>
  <si>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</si>
  <si>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</si>
  <si>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</si>
  <si>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</si>
  <si>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</si>
  <si>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</si>
  <si>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</si>
  <si>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</si>
  <si>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</si>
  <si>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</si>
  <si>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</si>
  <si>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</si>
  <si>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</si>
  <si>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</si>
  <si>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</si>
  <si>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</si>
  <si>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</si>
  <si>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</si>
  <si>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</si>
  <si>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</si>
  <si>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</si>
  <si>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</si>
  <si>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</si>
  <si>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</si>
  <si>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</si>
  <si>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</si>
  <si>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</si>
  <si>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</si>
  <si>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</si>
  <si>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</si>
  <si>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</si>
  <si>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</si>
  <si>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</si>
  <si>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</si>
  <si>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</si>
  <si>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</si>
  <si>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</si>
  <si>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</si>
  <si>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</si>
  <si>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</si>
  <si>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</si>
  <si>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</si>
  <si>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</si>
  <si>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</si>
  <si>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</si>
  <si>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</si>
  <si>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</si>
  <si>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</si>
  <si>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</si>
  <si>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</si>
  <si>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</si>
  <si>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</si>
  <si>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</si>
  <si>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</si>
  <si>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</si>
  <si>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</si>
  <si>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</si>
  <si>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</si>
  <si>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</si>
  <si>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</si>
  <si>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</si>
  <si>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</si>
  <si>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</si>
  <si>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</si>
  <si>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</si>
  <si>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</si>
  <si>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</si>
  <si>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</si>
  <si>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</si>
  <si>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</si>
  <si>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</si>
  <si>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</si>
  <si>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</si>
  <si>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</si>
  <si>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</si>
  <si>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</si>
  <si>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</si>
  <si>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</si>
  <si>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</si>
  <si>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</si>
  <si>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</si>
  <si>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</si>
  <si>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</si>
  <si>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</si>
  <si>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</si>
  <si>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</si>
  <si>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</si>
  <si>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</si>
  <si>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</si>
  <si>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</si>
  <si>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</si>
  <si>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</si>
  <si>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</si>
  <si>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</si>
  <si>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</si>
  <si>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</si>
  <si>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</si>
  <si>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</si>
  <si>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</si>
  <si>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</si>
  <si>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</si>
  <si>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</si>
  <si>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</si>
  <si>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</si>
  <si>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</si>
  <si>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</si>
  <si>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</si>
  <si>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</si>
  <si>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</si>
  <si>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</si>
  <si>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</si>
  <si>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</si>
  <si>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</si>
  <si>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</si>
  <si>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</si>
  <si>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</si>
  <si>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</si>
  <si>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</si>
  <si>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</si>
  <si>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</si>
  <si>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</si>
  <si>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</si>
  <si>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</si>
  <si>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</si>
  <si>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</si>
  <si>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</si>
  <si>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</si>
  <si>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</si>
  <si>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</si>
  <si>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</si>
  <si>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</si>
  <si>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</si>
  <si>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</si>
  <si>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</si>
  <si>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</si>
  <si>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</si>
  <si>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</si>
  <si>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</si>
  <si>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</si>
  <si>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</si>
  <si>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</si>
  <si>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</si>
  <si>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</si>
  <si>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</si>
  <si>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</si>
  <si>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</si>
  <si>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</si>
  <si>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</si>
  <si>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</si>
  <si>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</si>
  <si>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</si>
  <si>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</si>
  <si>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</si>
  <si>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</si>
  <si>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</si>
  <si>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</si>
  <si>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</si>
  <si>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</si>
  <si>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</si>
  <si>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</si>
  <si>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</si>
  <si>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</si>
  <si>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</si>
  <si>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</si>
  <si>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</si>
  <si>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</si>
  <si>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</si>
  <si>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</si>
  <si>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</si>
  <si>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</si>
  <si>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</si>
  <si>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</si>
  <si>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</si>
  <si>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</si>
  <si>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</si>
  <si>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</si>
  <si>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</si>
  <si>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</si>
  <si>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</si>
  <si>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</si>
  <si>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</si>
  <si>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</si>
  <si>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</si>
  <si>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</si>
  <si>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</si>
  <si>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</si>
  <si>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</si>
  <si>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</si>
  <si>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</si>
  <si>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</si>
  <si>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</si>
  <si>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</si>
  <si>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</si>
  <si>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</si>
  <si>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</si>
  <si>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</si>
  <si>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</si>
  <si>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</si>
  <si>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</si>
  <si>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</si>
  <si>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</si>
  <si>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</si>
  <si>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</si>
  <si>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</si>
  <si>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</si>
  <si>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</si>
  <si>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</si>
  <si>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</si>
  <si>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</si>
  <si>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</si>
  <si>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</si>
  <si>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</si>
  <si>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</si>
  <si>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</si>
  <si>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</si>
  <si>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</si>
  <si>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</si>
  <si>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</si>
  <si>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</si>
  <si>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</si>
  <si>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</si>
  <si>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</si>
  <si>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</si>
  <si>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</si>
  <si>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</si>
  <si>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</si>
  <si>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</si>
  <si>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</si>
  <si>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</si>
  <si>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</si>
  <si>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</si>
  <si>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</si>
  <si>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</si>
  <si>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</si>
  <si>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</si>
  <si>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</si>
  <si>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</si>
  <si>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</si>
  <si>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</si>
  <si>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</si>
  <si>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</si>
  <si>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</si>
  <si>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</si>
  <si>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</si>
  <si>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</si>
  <si>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</si>
  <si>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</si>
  <si>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</si>
  <si>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</si>
  <si>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</si>
  <si>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</si>
  <si>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</si>
  <si>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</si>
  <si>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</si>
  <si>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</si>
  <si>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</si>
  <si>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</si>
  <si>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</si>
  <si>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</si>
  <si>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</si>
  <si>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</si>
  <si>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</si>
  <si>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</si>
  <si>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</si>
  <si>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</si>
  <si>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</si>
  <si>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</si>
  <si>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</si>
  <si>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</si>
  <si>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</si>
  <si>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</si>
  <si>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</si>
  <si>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</si>
  <si>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</si>
  <si>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</si>
  <si>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</si>
  <si>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</si>
  <si>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</si>
  <si>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</si>
  <si>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</si>
  <si>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</si>
  <si>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</si>
  <si>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</si>
  <si>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</si>
  <si>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</si>
  <si>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</si>
  <si>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</si>
  <si>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</si>
  <si>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</si>
  <si>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</si>
  <si>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</si>
  <si>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</si>
  <si>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</si>
  <si>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</si>
  <si>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</si>
  <si>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</si>
  <si>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</si>
  <si>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</si>
  <si>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</si>
  <si>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</si>
  <si>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</si>
  <si>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</si>
  <si>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</si>
  <si>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</si>
  <si>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</si>
  <si>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</si>
  <si>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</si>
  <si>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</si>
  <si>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</si>
  <si>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</si>
  <si>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</si>
  <si>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</si>
  <si>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</si>
  <si>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</si>
  <si>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</si>
  <si>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</si>
  <si>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</si>
  <si>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</si>
  <si>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</si>
  <si>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</si>
  <si>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</si>
  <si>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</si>
  <si>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</si>
  <si>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</si>
  <si>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</si>
  <si>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</si>
  <si>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</si>
  <si>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</si>
  <si>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</si>
  <si>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</si>
  <si>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</si>
  <si>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</si>
  <si>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</si>
  <si>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</si>
  <si>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</si>
  <si>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</si>
  <si>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</si>
  <si>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</si>
  <si>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</si>
  <si>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</si>
  <si>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</si>
  <si>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</si>
  <si>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</si>
  <si>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</si>
  <si>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</si>
  <si>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</si>
  <si>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</si>
  <si>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</si>
  <si>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</si>
  <si>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</si>
  <si>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</si>
  <si>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</si>
  <si>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</si>
  <si>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</si>
  <si>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</si>
  <si>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</si>
  <si>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</si>
  <si>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</si>
  <si>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</si>
  <si>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</si>
  <si>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</si>
  <si>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</si>
  <si>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</si>
  <si>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</si>
  <si>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</si>
  <si>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</si>
  <si>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</si>
  <si>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</si>
  <si>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</si>
  <si>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</si>
  <si>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</si>
  <si>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</si>
  <si>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</si>
  <si>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</si>
  <si>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</si>
  <si>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</si>
  <si>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</si>
  <si>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</si>
  <si>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</si>
  <si>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</si>
  <si>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</si>
  <si>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</si>
  <si>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</si>
  <si>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</si>
  <si>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</si>
  <si>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</si>
  <si>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</si>
  <si>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</si>
  <si>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</si>
  <si>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</si>
  <si>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</si>
  <si>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</si>
  <si>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</si>
  <si>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</si>
  <si>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</si>
  <si>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</si>
  <si>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</si>
  <si>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</si>
  <si>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</si>
  <si>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</si>
  <si>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</si>
  <si>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</si>
  <si>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</si>
  <si>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</si>
  <si>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</si>
  <si>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</si>
  <si>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</si>
  <si>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</si>
  <si>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</si>
  <si>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</si>
  <si>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</si>
  <si>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</si>
  <si>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</si>
  <si>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</si>
  <si>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</si>
  <si>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</si>
  <si>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</si>
  <si>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</si>
  <si>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</si>
  <si>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</si>
  <si>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</si>
  <si>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</si>
  <si>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</si>
  <si>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</si>
  <si>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</si>
  <si>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</si>
  <si>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</si>
  <si>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</si>
  <si>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</si>
  <si>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</si>
  <si>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</si>
  <si>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</si>
  <si>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</si>
  <si>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</si>
  <si>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</si>
  <si>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</si>
  <si>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</si>
  <si>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</si>
  <si>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</si>
  <si>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</si>
  <si>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</si>
  <si>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</si>
  <si>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</si>
  <si>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</si>
  <si>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</si>
  <si>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</si>
  <si>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</si>
  <si>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</si>
  <si>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</si>
  <si>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</si>
  <si>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</si>
  <si>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</si>
  <si>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</si>
  <si>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</si>
  <si>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</si>
  <si>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</si>
  <si>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</si>
  <si>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</si>
  <si>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</si>
  <si>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</si>
  <si>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</si>
  <si>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</si>
  <si>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</si>
  <si>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</si>
  <si>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</si>
  <si>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</si>
  <si>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</si>
  <si>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</si>
  <si>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</si>
  <si>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</si>
  <si>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</si>
  <si>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</si>
  <si>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</si>
  <si>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</si>
  <si>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</si>
  <si>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</si>
  <si>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</si>
  <si>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</si>
  <si>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</si>
  <si>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</si>
  <si>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</si>
  <si>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</si>
  <si>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</si>
  <si>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</si>
  <si>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</si>
  <si>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</si>
  <si>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</si>
  <si>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</si>
  <si>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</si>
  <si>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</si>
  <si>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</si>
  <si>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</si>
  <si>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</si>
  <si>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</si>
  <si>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</si>
  <si>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</si>
  <si>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</si>
  <si>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</si>
  <si>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</si>
  <si>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</si>
  <si>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</si>
  <si>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</si>
  <si>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</si>
  <si>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</si>
  <si>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</si>
  <si>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</si>
  <si>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</si>
  <si>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</si>
  <si>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</si>
  <si>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</si>
  <si>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</si>
  <si>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</si>
  <si>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</si>
  <si>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</si>
  <si>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</si>
  <si>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</si>
  <si>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</si>
  <si>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</si>
  <si>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</si>
  <si>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</si>
  <si>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</si>
  <si>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</si>
  <si>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</si>
  <si>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</si>
  <si>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</si>
  <si>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</si>
  <si>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</si>
  <si>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</si>
  <si>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</si>
  <si>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</si>
  <si>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</si>
  <si>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</si>
  <si>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</si>
  <si>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</si>
  <si>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</si>
  <si>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</si>
  <si>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</si>
  <si>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</si>
  <si>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</si>
  <si>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</si>
  <si>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</si>
  <si>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</si>
  <si>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</si>
  <si>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</si>
  <si>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</si>
  <si>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</si>
  <si>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</si>
  <si>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</si>
  <si>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</si>
  <si>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</si>
  <si>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</si>
  <si>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</si>
  <si>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</si>
  <si>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</si>
  <si>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</si>
  <si>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</si>
  <si>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</si>
  <si>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</si>
  <si>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</si>
  <si>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</si>
  <si>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</si>
  <si>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</si>
  <si>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</si>
  <si>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</si>
  <si>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</si>
  <si>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</si>
  <si>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</si>
  <si>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</si>
  <si>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</si>
  <si>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</si>
  <si>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</si>
  <si>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</si>
  <si>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</si>
  <si>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</si>
  <si>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</si>
  <si>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</si>
  <si>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</si>
  <si>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</si>
  <si>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</si>
  <si>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</si>
  <si>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</si>
  <si>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</si>
  <si>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</si>
  <si>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</si>
  <si>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</si>
  <si>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</si>
  <si>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</si>
  <si>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</si>
  <si>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</si>
  <si>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</si>
  <si>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</si>
  <si>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</si>
  <si>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</si>
  <si>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</si>
  <si>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</si>
  <si>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</si>
  <si>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</si>
  <si>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</si>
  <si>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</si>
  <si>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</si>
  <si>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</si>
  <si>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</si>
  <si>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</si>
  <si>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</si>
  <si>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</si>
  <si>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</si>
  <si>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</si>
  <si>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</si>
  <si>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</si>
  <si>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</si>
  <si>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</si>
  <si>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</si>
  <si>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</si>
  <si>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</si>
  <si>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</si>
  <si>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</si>
  <si>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</si>
  <si>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</si>
  <si>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</si>
  <si>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</si>
  <si>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</si>
  <si>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</si>
  <si>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</si>
  <si>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</si>
  <si>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</si>
  <si>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</si>
  <si>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</si>
  <si>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</si>
  <si>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</si>
  <si>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</si>
  <si>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</si>
  <si>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</si>
  <si>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</si>
  <si>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</si>
  <si>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</si>
  <si>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</si>
  <si>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</si>
  <si>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</si>
  <si>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</si>
  <si>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</si>
  <si>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</si>
  <si>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</si>
  <si>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</si>
  <si>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</si>
  <si>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</si>
  <si>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</si>
  <si>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</si>
  <si>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</si>
  <si>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</si>
  <si>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</si>
  <si>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</si>
  <si>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</si>
  <si>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</si>
  <si>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</si>
  <si>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</si>
  <si>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</si>
  <si>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</si>
  <si>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</si>
  <si>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</si>
  <si>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</si>
  <si>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</si>
  <si>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</si>
  <si>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</si>
  <si>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</si>
  <si>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</si>
  <si>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</si>
  <si>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</si>
  <si>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</si>
  <si>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</si>
  <si>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</si>
  <si>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</si>
  <si>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</si>
  <si>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</si>
  <si>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</si>
  <si>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</si>
  <si>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</si>
  <si>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</si>
  <si>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</si>
  <si>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</si>
  <si>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</si>
  <si>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</si>
  <si>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</si>
  <si>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</si>
  <si>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</si>
  <si>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</si>
  <si>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</si>
  <si>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</si>
  <si>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</si>
  <si>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</si>
  <si>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</si>
  <si>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</si>
  <si>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</si>
  <si>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</si>
  <si>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</si>
  <si>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</si>
  <si>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</si>
  <si>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</si>
  <si>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</si>
  <si>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</si>
  <si>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</si>
  <si>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</si>
  <si>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</si>
  <si>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</si>
  <si>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</si>
  <si>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</si>
  <si>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</si>
  <si>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</si>
  <si>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</si>
  <si>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</si>
  <si>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</si>
  <si>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</si>
  <si>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</si>
  <si>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</si>
  <si>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</si>
  <si>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</si>
  <si>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</si>
  <si>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</si>
  <si>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</si>
  <si>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</si>
  <si>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</si>
  <si>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</si>
  <si>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</si>
  <si>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</si>
  <si>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</si>
  <si>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</si>
  <si>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</si>
  <si>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</si>
  <si>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</si>
  <si>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</si>
  <si>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</si>
  <si>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</si>
  <si>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</si>
  <si>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</si>
  <si>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</si>
  <si>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</si>
  <si>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</si>
  <si>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</si>
  <si>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</si>
  <si>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</si>
  <si>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</si>
  <si>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</si>
  <si>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</si>
  <si>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</si>
  <si>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</si>
  <si>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</si>
  <si>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</si>
  <si>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</si>
  <si>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</si>
  <si>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</si>
  <si>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</si>
  <si>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</si>
  <si>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</si>
  <si>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</si>
  <si>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</si>
  <si>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</si>
  <si>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</si>
  <si>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</si>
  <si>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</si>
  <si>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</si>
  <si>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</si>
  <si>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</si>
  <si>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</si>
  <si>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</si>
  <si>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</si>
  <si>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</si>
  <si>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</si>
  <si>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</si>
  <si>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</si>
  <si>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</si>
  <si>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</si>
  <si>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</si>
  <si>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</si>
  <si>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</si>
  <si>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</si>
  <si>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</si>
  <si>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</si>
  <si>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</si>
  <si>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</si>
  <si>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</si>
  <si>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</si>
  <si>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</si>
  <si>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</si>
  <si>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</si>
  <si>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</si>
  <si>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</si>
  <si>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</si>
  <si>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</si>
  <si>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</si>
  <si>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</si>
  <si>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</si>
  <si>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</si>
  <si>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</si>
  <si>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</si>
  <si>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</si>
  <si>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</si>
  <si>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</si>
  <si>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</si>
  <si>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</si>
  <si>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</si>
  <si>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</si>
  <si>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</si>
  <si>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</si>
  <si>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</si>
  <si>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</si>
  <si>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</si>
  <si>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</si>
  <si>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</si>
  <si>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</si>
  <si>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</si>
  <si>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</si>
  <si>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</si>
  <si>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</si>
  <si>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</si>
  <si>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</si>
  <si>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</si>
  <si>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</si>
  <si>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</si>
  <si>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</si>
  <si>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</si>
  <si>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</si>
  <si>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</si>
  <si>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</si>
  <si>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</si>
  <si>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</si>
  <si>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</si>
  <si>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</si>
  <si>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</si>
  <si>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</si>
  <si>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</si>
  <si>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</si>
  <si>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</si>
  <si>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</si>
  <si>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</si>
  <si>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</si>
  <si>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</si>
  <si>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</si>
  <si>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</si>
  <si>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</si>
  <si>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</si>
  <si>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</si>
  <si>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</si>
  <si>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</si>
  <si>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</si>
  <si>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</si>
  <si>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</si>
  <si>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</si>
  <si>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</si>
  <si>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</si>
  <si>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</si>
  <si>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</si>
  <si>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</si>
  <si>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</si>
  <si>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</si>
  <si>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</si>
  <si>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</si>
  <si>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</si>
  <si>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</si>
  <si>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</si>
  <si>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</si>
  <si>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</si>
  <si>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</si>
  <si>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</si>
  <si>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</si>
  <si>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</si>
  <si>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</si>
  <si>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</si>
  <si>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</si>
  <si>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</si>
  <si>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</si>
  <si>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</si>
  <si>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</si>
  <si>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</si>
  <si>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</si>
  <si>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</si>
  <si>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</si>
  <si>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</si>
  <si>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</si>
  <si>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</si>
  <si>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</si>
  <si>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</si>
  <si>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</si>
  <si>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</si>
  <si>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</si>
  <si>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</si>
  <si>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</si>
  <si>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</si>
  <si>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</si>
  <si>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</si>
  <si>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</si>
  <si>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</si>
  <si>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</si>
  <si>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</si>
  <si>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</si>
  <si>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</si>
  <si>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</si>
  <si>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</si>
  <si>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</si>
  <si>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</si>
  <si>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</si>
  <si>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</si>
  <si>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</si>
  <si>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</si>
  <si>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</si>
  <si>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</si>
  <si>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</si>
  <si>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</si>
  <si>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</si>
  <si>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</si>
  <si>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</si>
  <si>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</si>
  <si>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</si>
  <si>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</si>
  <si>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</si>
  <si>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</si>
  <si>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</si>
  <si>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</si>
  <si>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</si>
  <si>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</si>
  <si>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</si>
  <si>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</si>
  <si>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</si>
  <si>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</si>
  <si>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</si>
  <si>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</si>
  <si>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</si>
  <si>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</si>
  <si>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</si>
  <si>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</si>
  <si>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</si>
  <si>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</si>
  <si>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</si>
  <si>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</si>
  <si>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</si>
  <si>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</si>
  <si>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</si>
  <si>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</si>
  <si>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</si>
  <si>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</si>
  <si>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</si>
  <si>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</si>
  <si>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</si>
  <si>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</si>
  <si>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</si>
  <si>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</si>
  <si>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</si>
  <si>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</si>
  <si>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</si>
  <si>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</si>
  <si>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</si>
  <si>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</si>
  <si>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</si>
  <si>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</si>
  <si>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</si>
  <si>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</si>
  <si>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</si>
  <si>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</si>
  <si>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</si>
  <si>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</si>
  <si>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</si>
  <si>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</si>
  <si>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</si>
  <si>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</si>
  <si>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</si>
  <si>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</si>
  <si>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</si>
  <si>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</si>
  <si>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</si>
  <si>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</si>
  <si>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</si>
  <si>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</si>
  <si>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</si>
  <si>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</si>
  <si>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</si>
  <si>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</si>
  <si>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</si>
  <si>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</si>
  <si>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</si>
  <si>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</si>
  <si>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</si>
  <si>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</si>
  <si>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</si>
  <si>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</si>
  <si>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</si>
  <si>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</si>
  <si>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</si>
  <si>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</si>
  <si>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</si>
  <si>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</si>
  <si>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</si>
  <si>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</si>
  <si>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</si>
  <si>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</si>
  <si>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</si>
  <si>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</si>
  <si>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</si>
  <si>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</si>
  <si>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</si>
  <si>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</si>
  <si>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</si>
  <si>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</si>
  <si>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</si>
  <si>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</si>
  <si>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</si>
  <si>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</si>
  <si>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</si>
  <si>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</si>
  <si>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</si>
  <si>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</si>
  <si>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</si>
  <si>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</si>
  <si>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</si>
  <si>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</si>
  <si>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</si>
  <si>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</si>
  <si>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</si>
  <si>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</si>
  <si>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</si>
  <si>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</si>
  <si>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</si>
  <si>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</si>
  <si>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</si>
  <si>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</si>
  <si>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</si>
  <si>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</si>
  <si>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</si>
  <si>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</si>
  <si>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</si>
  <si>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</si>
  <si>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</si>
  <si>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</si>
  <si>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</si>
  <si>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</si>
  <si>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</si>
  <si>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</si>
  <si>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</si>
  <si>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</si>
  <si>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</si>
  <si>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</si>
  <si>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</si>
  <si>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</si>
  <si>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</si>
  <si>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</si>
  <si>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</si>
  <si>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</si>
  <si>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</si>
  <si>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</si>
  <si>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</si>
  <si>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</si>
  <si>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</si>
  <si>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</si>
  <si>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</si>
  <si>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</si>
  <si>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</si>
  <si>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</si>
  <si>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</si>
  <si>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</si>
  <si>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</si>
  <si>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</si>
  <si>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</si>
  <si>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</si>
  <si>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</si>
  <si>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</si>
  <si>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</si>
  <si>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</si>
  <si>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</si>
  <si>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</si>
  <si>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</si>
  <si>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</si>
  <si>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</si>
  <si>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</si>
  <si>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</si>
  <si>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</si>
  <si>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</si>
  <si>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</si>
  <si>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</si>
  <si>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</si>
  <si>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</si>
  <si>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</si>
  <si>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</si>
  <si>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</si>
  <si>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</si>
  <si>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</si>
  <si>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</si>
  <si>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</si>
  <si>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</si>
  <si>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</si>
  <si>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</si>
  <si>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</si>
  <si>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</si>
  <si>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</si>
  <si>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</si>
  <si>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</si>
  <si>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</si>
  <si>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</si>
  <si>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</si>
  <si>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</si>
  <si>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</si>
  <si>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</si>
  <si>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</si>
  <si>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</si>
  <si>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</si>
  <si>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</si>
  <si>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</si>
  <si>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</si>
  <si>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</si>
  <si>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</si>
  <si>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</si>
  <si>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</si>
  <si>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</si>
  <si>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</si>
  <si>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</si>
  <si>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</si>
  <si>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</si>
  <si>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</si>
  <si>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</si>
  <si>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</si>
  <si>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</si>
  <si>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</si>
  <si>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</si>
  <si>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</si>
  <si>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</si>
  <si>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</si>
  <si>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</si>
  <si>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</si>
  <si>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</si>
  <si>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</si>
  <si>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</si>
  <si>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</si>
  <si>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</si>
  <si>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</si>
  <si>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</si>
  <si>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</si>
  <si>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</si>
  <si>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</si>
  <si>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</si>
  <si>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</si>
  <si>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</si>
  <si>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</si>
  <si>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</si>
  <si>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</si>
  <si>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</si>
  <si>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</si>
  <si>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</si>
  <si>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</si>
  <si>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</si>
  <si>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</si>
  <si>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</si>
  <si>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</si>
  <si>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</si>
  <si>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</si>
  <si>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</si>
  <si>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</si>
  <si>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</si>
  <si>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</si>
  <si>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</si>
  <si>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</si>
  <si>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</si>
  <si>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</si>
  <si>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</si>
  <si>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</si>
  <si>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</si>
  <si>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</si>
  <si>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</si>
  <si>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</si>
  <si>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</si>
  <si>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</si>
  <si>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</si>
  <si>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</si>
  <si>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</si>
  <si>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</si>
  <si>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</si>
  <si>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</si>
  <si>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</si>
  <si>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</si>
  <si>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</si>
  <si>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</si>
  <si>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</si>
  <si>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</si>
  <si>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</si>
  <si>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</si>
  <si>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</si>
  <si>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</si>
  <si>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</si>
  <si>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</si>
  <si>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</si>
  <si>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</si>
  <si>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</si>
  <si>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</si>
  <si>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</si>
  <si>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</si>
  <si>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</si>
  <si>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</si>
  <si>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</si>
  <si>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</si>
  <si>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</si>
  <si>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</si>
  <si>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</si>
  <si>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</si>
  <si>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</si>
  <si>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</si>
  <si>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</si>
  <si>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</si>
  <si>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</si>
  <si>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</si>
  <si>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</si>
  <si>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</si>
  <si>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</si>
  <si>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</si>
  <si>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</si>
  <si>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</si>
  <si>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</si>
  <si>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</si>
  <si>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</si>
  <si>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</si>
  <si>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</si>
  <si>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</si>
  <si>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</si>
  <si>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</si>
  <si>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</si>
  <si>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</si>
  <si>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</si>
  <si>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</si>
  <si>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</si>
  <si>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</si>
  <si>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</si>
  <si>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</si>
  <si>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</si>
  <si>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</si>
  <si>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</si>
  <si>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</si>
  <si>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</si>
  <si>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</si>
  <si>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</si>
  <si>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</si>
  <si>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</si>
  <si>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</si>
  <si>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</si>
  <si>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</si>
  <si>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</si>
  <si>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</si>
  <si>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</si>
  <si>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</si>
  <si>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</si>
  <si>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</si>
  <si>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</si>
  <si>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</si>
  <si>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</si>
  <si>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</si>
  <si>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</si>
  <si>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</si>
  <si>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</si>
  <si>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</si>
  <si>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</si>
  <si>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</si>
  <si>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</si>
  <si>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</si>
  <si>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</si>
  <si>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</si>
  <si>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</si>
  <si>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</si>
  <si>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</si>
  <si>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</si>
  <si>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</si>
  <si>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</si>
  <si>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</si>
  <si>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</si>
  <si>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</si>
  <si>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</si>
  <si>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</si>
  <si>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</si>
  <si>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</si>
  <si>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</si>
  <si>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</si>
  <si>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</si>
  <si>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</si>
  <si>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</si>
  <si>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</si>
  <si>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</si>
  <si>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</si>
  <si>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</si>
  <si>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</si>
  <si>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</si>
  <si>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</si>
  <si>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</si>
  <si>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</si>
  <si>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</si>
  <si>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</si>
  <si>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</si>
  <si>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</si>
  <si>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</si>
  <si>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</si>
  <si>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</si>
  <si>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</si>
  <si>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</si>
  <si>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</si>
  <si>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</si>
  <si>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</si>
  <si>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</si>
  <si>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</si>
  <si>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</si>
  <si>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</si>
  <si>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</si>
  <si>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</si>
  <si>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</si>
  <si>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</si>
  <si>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</si>
  <si>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</si>
  <si>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</si>
  <si>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</si>
  <si>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</si>
  <si>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</si>
  <si>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</si>
  <si>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</si>
  <si>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</si>
  <si>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</si>
  <si>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</si>
  <si>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</si>
  <si>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</si>
  <si>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</si>
  <si>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</si>
  <si>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</si>
  <si>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</si>
  <si>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</si>
  <si>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</si>
  <si>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</si>
  <si>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</si>
  <si>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</si>
  <si>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</si>
  <si>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</si>
  <si>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</si>
  <si>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</si>
  <si>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</si>
  <si>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</si>
  <si>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</si>
  <si>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</si>
  <si>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</si>
  <si>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</si>
  <si>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</si>
  <si>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</si>
  <si>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</si>
  <si>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</si>
  <si>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</si>
  <si>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</si>
  <si>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</si>
  <si>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</si>
  <si>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</si>
  <si>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</si>
  <si>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</si>
  <si>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</si>
  <si>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</si>
  <si>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</si>
  <si>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</si>
  <si>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</si>
  <si>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</si>
  <si>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</si>
  <si>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</si>
  <si>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</si>
  <si>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</si>
  <si>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</si>
  <si>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</si>
  <si>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</si>
  <si>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</si>
  <si>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</si>
  <si>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</si>
  <si>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</si>
  <si>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</si>
  <si>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</si>
  <si>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</si>
  <si>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</si>
  <si>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</si>
  <si>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</si>
  <si>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</si>
  <si>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</si>
  <si>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</si>
  <si>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</si>
  <si>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</si>
  <si>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</si>
  <si>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</si>
  <si>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</si>
  <si>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</si>
  <si>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</si>
  <si>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</si>
  <si>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</si>
  <si>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</si>
  <si>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</si>
  <si>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</si>
  <si>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</si>
  <si>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</si>
  <si>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</si>
  <si>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</si>
  <si>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</si>
  <si>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</si>
  <si>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</si>
  <si>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</si>
  <si>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</si>
  <si>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</si>
  <si>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</si>
  <si>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</si>
  <si>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</si>
  <si>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</si>
  <si>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</si>
  <si>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</si>
  <si>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</si>
  <si>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</si>
  <si>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</si>
  <si>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</si>
  <si>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</si>
  <si>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</si>
  <si>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</si>
  <si>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</si>
  <si>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</si>
  <si>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</si>
  <si>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</si>
  <si>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</si>
  <si>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</si>
  <si>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</si>
  <si>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</si>
  <si>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</si>
  <si>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</si>
  <si>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</si>
  <si>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</si>
  <si>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</si>
  <si>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</si>
  <si>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</si>
  <si>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</si>
  <si>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</si>
  <si>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</si>
  <si>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</si>
  <si>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</si>
  <si>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</si>
  <si>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</si>
  <si>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</si>
  <si>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</si>
  <si>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</si>
  <si>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</si>
  <si>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</si>
  <si>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</si>
  <si>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</si>
  <si>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</si>
  <si>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</si>
  <si>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</si>
  <si>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</si>
  <si>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</si>
  <si>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</si>
  <si>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</si>
  <si>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</si>
  <si>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</si>
  <si>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</si>
  <si>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</si>
  <si>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</si>
  <si>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</si>
  <si>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</si>
  <si>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</si>
  <si>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</si>
  <si>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</si>
  <si>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</si>
  <si>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</si>
  <si>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</si>
  <si>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</si>
  <si>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</si>
  <si>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</si>
  <si>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</si>
  <si>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</si>
  <si>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</si>
  <si>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</si>
  <si>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</si>
  <si>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</si>
  <si>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</si>
  <si>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</si>
  <si>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</si>
  <si>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</si>
  <si>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</si>
  <si>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</si>
  <si>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</si>
  <si>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</si>
  <si>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</si>
  <si>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</si>
  <si>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</si>
  <si>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</si>
  <si>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</si>
  <si>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</si>
  <si>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</si>
  <si>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</si>
  <si>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</si>
  <si>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</si>
  <si>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</si>
  <si>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</si>
  <si>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</si>
  <si>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</si>
  <si>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</si>
  <si>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</si>
  <si>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</si>
  <si>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</si>
  <si>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</si>
  <si>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</si>
  <si>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</si>
  <si>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</si>
  <si>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</si>
  <si>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</si>
  <si>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</si>
  <si>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</si>
  <si>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</si>
  <si>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</si>
  <si>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</si>
  <si>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</si>
  <si>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</si>
  <si>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</si>
  <si>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</si>
  <si>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</si>
  <si>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</si>
  <si>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</si>
  <si>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</si>
  <si>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</si>
  <si>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</si>
  <si>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</si>
  <si>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</si>
  <si>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</si>
  <si>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</si>
  <si>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</si>
  <si>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</si>
  <si>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</si>
  <si>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</si>
  <si>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</si>
  <si>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</si>
  <si>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</si>
  <si>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</si>
  <si>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</si>
  <si>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</si>
  <si>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</si>
  <si>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</si>
  <si>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</si>
  <si>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</si>
  <si>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</si>
  <si>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</si>
  <si>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</si>
  <si>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</si>
  <si>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</si>
  <si>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</si>
  <si>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</si>
  <si>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</si>
  <si>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</si>
  <si>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</si>
  <si>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</si>
  <si>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</si>
  <si>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</si>
  <si>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</si>
  <si>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</si>
  <si>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</si>
  <si>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</si>
  <si>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</si>
  <si>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</si>
  <si>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</si>
  <si>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</si>
  <si>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</si>
  <si>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</si>
  <si>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</si>
  <si>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</si>
  <si>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</si>
  <si>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</si>
  <si>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</si>
  <si>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</si>
  <si>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</si>
  <si>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</si>
  <si>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</si>
  <si>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</si>
  <si>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</si>
  <si>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</si>
  <si>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</si>
  <si>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</si>
  <si>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</si>
  <si>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</si>
  <si>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</si>
  <si>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</si>
  <si>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</si>
  <si>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</si>
  <si>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</si>
  <si>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</si>
  <si>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</si>
  <si>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</si>
  <si>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</si>
  <si>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</si>
  <si>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</si>
  <si>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</si>
  <si>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</si>
  <si>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</si>
  <si>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</si>
  <si>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</si>
  <si>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</si>
  <si>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</si>
  <si>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</si>
  <si>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</si>
  <si>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</si>
  <si>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</si>
  <si>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</si>
  <si>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</si>
  <si>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</si>
  <si>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</si>
  <si>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</si>
  <si>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</si>
  <si>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</si>
  <si>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</si>
  <si>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</si>
  <si>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</si>
  <si>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</si>
  <si>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</si>
  <si>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</si>
  <si>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</si>
  <si>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</si>
  <si>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</si>
  <si>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</si>
  <si>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</si>
  <si>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</si>
  <si>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</si>
  <si>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</si>
  <si>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</si>
  <si>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</si>
  <si>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</si>
  <si>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</si>
  <si>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</si>
  <si>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</si>
  <si>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</si>
  <si>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</si>
  <si>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</si>
  <si>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</si>
  <si>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</si>
  <si>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</si>
  <si>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</si>
  <si>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</si>
  <si>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</si>
  <si>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</si>
  <si>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</si>
  <si>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</si>
  <si>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</si>
  <si>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</si>
  <si>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</si>
  <si>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</si>
  <si>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</si>
  <si>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</si>
  <si>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</si>
  <si>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</si>
  <si>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</si>
  <si>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</si>
  <si>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</si>
  <si>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</si>
  <si>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</si>
  <si>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</si>
  <si>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</si>
  <si>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</si>
  <si>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</si>
  <si>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</si>
  <si>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</si>
  <si>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</si>
  <si>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</si>
  <si>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</si>
  <si>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</si>
  <si>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</si>
  <si>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</si>
  <si>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</si>
  <si>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</si>
  <si>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</si>
  <si>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</si>
  <si>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</si>
  <si>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</si>
  <si>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</si>
  <si>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</si>
  <si>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</si>
  <si>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</si>
  <si>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</si>
  <si>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</si>
  <si>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</si>
  <si>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</si>
  <si>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</si>
  <si>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</si>
  <si>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</si>
  <si>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</si>
  <si>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</si>
  <si>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</si>
  <si>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</si>
  <si>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</si>
  <si>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</si>
  <si>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</si>
  <si>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</si>
  <si>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</si>
  <si>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</si>
  <si>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</si>
  <si>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</si>
  <si>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</si>
  <si>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</si>
  <si>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</si>
  <si>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</si>
  <si>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</si>
  <si>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</si>
  <si>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</si>
  <si>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</si>
  <si>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</si>
  <si>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</si>
  <si>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</si>
  <si>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</si>
  <si>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</si>
  <si>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</si>
  <si>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</si>
  <si>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</si>
  <si>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</si>
  <si>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</si>
  <si>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</si>
  <si>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</si>
  <si>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</si>
  <si>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</si>
  <si>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</si>
  <si>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</si>
  <si>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</si>
  <si>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</si>
  <si>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</si>
  <si>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</si>
  <si>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</si>
  <si>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</si>
  <si>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</si>
  <si>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</si>
  <si>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</si>
  <si>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</si>
  <si>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</si>
  <si>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</si>
  <si>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</si>
  <si>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</si>
  <si>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</si>
  <si>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</si>
  <si>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</si>
  <si>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</si>
  <si>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</si>
  <si>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</si>
  <si>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</si>
  <si>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</si>
  <si>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</si>
  <si>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</si>
  <si>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</si>
  <si>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</si>
  <si>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</si>
  <si>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</si>
  <si>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</si>
  <si>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</si>
  <si>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</si>
  <si>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</si>
  <si>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</si>
  <si>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</si>
  <si>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</si>
  <si>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</si>
  <si>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</si>
  <si>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</si>
  <si>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</si>
  <si>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</si>
  <si>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</si>
  <si>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</si>
  <si>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</si>
  <si>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</si>
  <si>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</si>
  <si>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</si>
  <si>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</si>
  <si>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</si>
  <si>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</si>
  <si>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</si>
  <si>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</si>
  <si>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</si>
  <si>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</si>
  <si>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</si>
  <si>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</si>
  <si>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</si>
  <si>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</si>
  <si>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</si>
  <si>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</si>
  <si>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</si>
  <si>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</si>
  <si>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</si>
  <si>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</si>
  <si>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</si>
  <si>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</si>
  <si>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</si>
  <si>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</si>
  <si>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</si>
  <si>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</si>
  <si>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</si>
  <si>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</si>
  <si>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</si>
  <si>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</si>
  <si>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</si>
  <si>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</si>
  <si>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</si>
  <si>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</si>
  <si>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</si>
  <si>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</si>
  <si>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</si>
  <si>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</si>
  <si>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</si>
  <si>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</si>
  <si>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</si>
  <si>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</si>
  <si>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</si>
  <si>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</si>
  <si>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</si>
  <si>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</si>
  <si>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</si>
  <si>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</si>
  <si>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</si>
  <si>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</si>
  <si>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</si>
  <si>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</si>
  <si>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</si>
  <si>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</si>
  <si>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</si>
  <si>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</si>
  <si>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</si>
  <si>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</si>
  <si>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</si>
  <si>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</si>
  <si>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</si>
  <si>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</si>
  <si>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</si>
  <si>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</si>
  <si>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</si>
  <si>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</si>
  <si>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</si>
  <si>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</si>
  <si>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</si>
  <si>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</si>
  <si>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</si>
  <si>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</si>
  <si>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</si>
  <si>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</si>
  <si>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</si>
  <si>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</si>
  <si>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</si>
  <si>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</si>
  <si>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</si>
  <si>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</si>
  <si>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</si>
  <si>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</si>
  <si>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</si>
  <si>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</si>
  <si>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</si>
  <si>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</si>
  <si>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</si>
  <si>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</si>
  <si>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</si>
  <si>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</si>
  <si>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</si>
  <si>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</si>
  <si>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</si>
  <si>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</si>
  <si>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</si>
  <si>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</si>
  <si>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</si>
  <si>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</si>
  <si>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</si>
  <si>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</si>
  <si>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</si>
  <si>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</si>
  <si>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</si>
  <si>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</si>
  <si>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</si>
  <si>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</si>
  <si>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</si>
  <si>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</si>
  <si>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</si>
  <si>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</si>
  <si>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</si>
  <si>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</si>
  <si>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</si>
  <si>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</si>
  <si>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</si>
  <si>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</si>
  <si>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</si>
  <si>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</si>
  <si>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</si>
  <si>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</si>
  <si>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</si>
  <si>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</si>
  <si>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</si>
  <si>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</si>
  <si>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</si>
  <si>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</si>
  <si>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</si>
  <si>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</si>
  <si>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</si>
  <si>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</si>
  <si>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</si>
  <si>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</si>
  <si>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</si>
  <si>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</si>
  <si>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</si>
  <si>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</si>
  <si>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</si>
  <si>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</si>
  <si>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</si>
  <si>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</si>
  <si>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</si>
  <si>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</si>
  <si>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</si>
  <si>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</si>
  <si>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</si>
  <si>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</si>
  <si>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</si>
  <si>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</si>
  <si>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</si>
  <si>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</si>
  <si>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</si>
  <si>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</si>
  <si>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</si>
  <si>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</si>
  <si>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</si>
  <si>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</si>
  <si>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</si>
  <si>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</si>
  <si>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</si>
  <si>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</si>
  <si>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</si>
  <si>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</si>
  <si>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</si>
  <si>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</si>
  <si>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</si>
  <si>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</si>
  <si>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</si>
  <si>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</si>
  <si>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</si>
  <si>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</si>
  <si>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</si>
  <si>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</si>
  <si>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</si>
  <si>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</si>
  <si>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</si>
  <si>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</si>
  <si>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</si>
  <si>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</si>
  <si>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</si>
  <si>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</si>
  <si>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</si>
  <si>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</si>
  <si>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</si>
  <si>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</si>
  <si>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</si>
  <si>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</si>
  <si>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</si>
  <si>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</si>
  <si>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</si>
  <si>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</si>
  <si>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</si>
  <si>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</si>
  <si>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</si>
  <si>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</si>
  <si>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</si>
  <si>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</si>
  <si>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</si>
  <si>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</si>
  <si>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</si>
  <si>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</si>
  <si>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</si>
  <si>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</si>
  <si>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</si>
  <si>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</si>
  <si>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</si>
  <si>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</si>
  <si>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</si>
  <si>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</si>
  <si>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</si>
  <si>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</si>
  <si>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</si>
  <si>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</si>
  <si>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</si>
  <si>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</si>
  <si>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</si>
  <si>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</si>
  <si>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</si>
  <si>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</si>
  <si>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</si>
  <si>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</si>
  <si>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</si>
  <si>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</si>
  <si>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</si>
  <si>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</si>
  <si>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</si>
  <si>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</si>
  <si>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</si>
  <si>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</si>
  <si>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</si>
  <si>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</si>
  <si>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</si>
  <si>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</si>
  <si>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</si>
  <si>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</si>
  <si>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</si>
  <si>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</si>
  <si>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</si>
  <si>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</si>
  <si>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</si>
  <si>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</si>
  <si>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</si>
  <si>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</si>
  <si>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</si>
  <si>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</si>
  <si>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</si>
  <si>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</si>
  <si>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</si>
  <si>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</si>
  <si>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</si>
  <si>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</si>
  <si>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</si>
  <si>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</si>
  <si>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</si>
  <si>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</si>
  <si>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</si>
  <si>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</si>
  <si>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</si>
  <si>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</si>
  <si>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</si>
  <si>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</si>
  <si>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</si>
  <si>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</si>
  <si>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</si>
  <si>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</si>
  <si>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</si>
  <si>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</si>
  <si>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</si>
  <si>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</si>
  <si>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</si>
  <si>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</si>
  <si>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</si>
  <si>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</si>
  <si>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</si>
  <si>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</si>
  <si>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</si>
  <si>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</si>
  <si>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</si>
  <si>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</si>
  <si>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</si>
  <si>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</si>
  <si>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</si>
  <si>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</si>
  <si>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</si>
  <si>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</si>
  <si>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</si>
  <si>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</si>
  <si>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</si>
  <si>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</si>
  <si>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</si>
  <si>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</si>
  <si>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</si>
  <si>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</si>
  <si>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</si>
  <si>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</si>
  <si>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</si>
  <si>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</si>
  <si>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</si>
  <si>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</si>
  <si>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</si>
  <si>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</si>
  <si>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</si>
  <si>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</si>
  <si>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</si>
  <si>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</si>
  <si>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</si>
  <si>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</si>
  <si>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</si>
  <si>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</si>
  <si>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</si>
  <si>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</si>
  <si>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</si>
  <si>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</si>
  <si>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</si>
  <si>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</si>
  <si>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</si>
  <si>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</si>
  <si>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</si>
  <si>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</si>
  <si>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</si>
  <si>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</si>
  <si>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</si>
  <si>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</si>
  <si>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</si>
  <si>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</si>
  <si>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</si>
  <si>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</si>
  <si>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</si>
  <si>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</si>
  <si>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</si>
  <si>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</si>
  <si>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</si>
  <si>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</si>
  <si>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</si>
  <si>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</si>
  <si>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</si>
  <si>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</si>
  <si>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</si>
  <si>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</si>
  <si>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</si>
  <si>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</si>
  <si>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</si>
  <si>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</si>
  <si>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</si>
  <si>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</si>
  <si>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</si>
  <si>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</si>
  <si>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</si>
  <si>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</si>
  <si>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</si>
  <si>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</si>
  <si>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</si>
  <si>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</si>
  <si>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</si>
  <si>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</si>
  <si>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</si>
  <si>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</si>
  <si>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</si>
  <si>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</si>
  <si>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</si>
  <si>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</si>
  <si>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</si>
  <si>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</si>
  <si>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</si>
  <si>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</si>
  <si>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</si>
  <si>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</si>
  <si>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</si>
  <si>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</si>
  <si>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</si>
  <si>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</si>
  <si>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</si>
  <si>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</si>
  <si>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</si>
  <si>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</si>
  <si>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</si>
  <si>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</si>
  <si>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</si>
  <si>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</si>
  <si>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</si>
  <si>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</si>
  <si>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</si>
  <si>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</si>
  <si>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</si>
  <si>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</si>
  <si>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</si>
  <si>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</si>
  <si>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</si>
  <si>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</si>
  <si>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</si>
  <si>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</si>
  <si>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</si>
  <si>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</si>
  <si>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</si>
  <si>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</si>
  <si>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</si>
  <si>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</si>
  <si>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</si>
  <si>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</si>
  <si>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</si>
  <si>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</si>
  <si>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</si>
  <si>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</si>
  <si>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</si>
  <si>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</si>
  <si>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</si>
  <si>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</si>
  <si>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</si>
  <si>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</si>
  <si>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</si>
  <si>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</si>
  <si>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</si>
  <si>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</si>
  <si>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</si>
  <si>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</si>
  <si>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</si>
  <si>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</si>
  <si>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</si>
  <si>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</si>
  <si>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</si>
  <si>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</si>
  <si>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</si>
  <si>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</si>
  <si>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</si>
  <si>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</si>
  <si>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</si>
  <si>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</si>
  <si>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</si>
  <si>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</si>
  <si>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</si>
  <si>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</si>
  <si>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</si>
  <si>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</si>
  <si>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</si>
  <si>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</si>
  <si>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</si>
  <si>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</si>
  <si>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</si>
  <si>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</si>
  <si>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</si>
  <si>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</si>
  <si>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</si>
  <si>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</si>
  <si>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</si>
  <si>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</si>
  <si>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</si>
  <si>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</si>
  <si>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</si>
  <si>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</si>
  <si>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</si>
  <si>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</si>
  <si>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</si>
  <si>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</si>
  <si>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</si>
  <si>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</si>
  <si>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</si>
  <si>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</si>
  <si>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</si>
  <si>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</si>
  <si>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</si>
  <si>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</si>
  <si>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</si>
  <si>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</si>
  <si>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</si>
  <si>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</si>
  <si>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</si>
  <si>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</si>
  <si>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</si>
  <si>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</si>
  <si>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</si>
  <si>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</si>
  <si>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</si>
  <si>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</si>
  <si>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</si>
  <si>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</si>
  <si>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</si>
  <si>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</si>
  <si>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</si>
  <si>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</si>
  <si>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</si>
  <si>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</si>
  <si>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</si>
  <si>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</si>
  <si>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</si>
  <si>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</si>
  <si>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</si>
  <si>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</si>
  <si>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</si>
  <si>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</si>
  <si>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</si>
  <si>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</si>
  <si>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</si>
  <si>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</si>
  <si>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</si>
  <si>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</si>
  <si>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</si>
  <si>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</si>
  <si>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</si>
  <si>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</si>
  <si>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</si>
  <si>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</si>
  <si>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</si>
  <si>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</si>
  <si>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</si>
  <si>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</si>
  <si>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</si>
  <si>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</si>
  <si>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</si>
  <si>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</si>
  <si>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</si>
  <si>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</si>
  <si>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</si>
  <si>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</si>
  <si>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</si>
  <si>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</si>
  <si>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</si>
  <si>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</si>
  <si>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</si>
  <si>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</si>
  <si>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</si>
  <si>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</si>
  <si>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</si>
  <si>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</si>
  <si>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</si>
  <si>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</si>
  <si>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</si>
  <si>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</si>
  <si>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</si>
  <si>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</si>
  <si>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</si>
  <si>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</si>
  <si>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</si>
  <si>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</si>
  <si>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</si>
  <si>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</si>
  <si>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</si>
  <si>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</si>
  <si>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</si>
  <si>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</si>
  <si>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</si>
  <si>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</si>
  <si>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</si>
  <si>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</si>
  <si>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</si>
  <si>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</si>
  <si>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</si>
  <si>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</si>
  <si>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</si>
  <si>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</si>
  <si>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</si>
  <si>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</si>
  <si>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</si>
  <si>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</si>
  <si>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</si>
  <si>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</si>
  <si>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</si>
  <si>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</si>
  <si>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</si>
  <si>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</si>
  <si>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</si>
  <si>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</si>
  <si>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</si>
  <si>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</si>
  <si>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</si>
  <si>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</si>
  <si>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</si>
  <si>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</si>
  <si>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</si>
  <si>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</si>
  <si>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</si>
  <si>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</si>
  <si>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</si>
  <si>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</si>
  <si>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</si>
  <si>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</si>
  <si>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</si>
  <si>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</si>
  <si>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</si>
  <si>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</si>
  <si>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</si>
  <si>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</si>
  <si>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</si>
  <si>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</si>
  <si>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</si>
  <si>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</si>
  <si>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</si>
  <si>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</si>
  <si>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</si>
  <si>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</si>
  <si>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</si>
  <si>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</si>
  <si>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</si>
  <si>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</si>
  <si>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</si>
  <si>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</si>
  <si>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</si>
  <si>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</si>
  <si>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</si>
  <si>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</si>
  <si>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</si>
  <si>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</si>
  <si>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</si>
  <si>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</si>
  <si>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</si>
  <si>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</si>
  <si>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</si>
  <si>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</si>
  <si>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</si>
  <si>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</si>
  <si>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</si>
  <si>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</si>
  <si>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</si>
  <si>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</si>
  <si>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</si>
  <si>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</si>
  <si>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</si>
  <si>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</si>
  <si>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</si>
  <si>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</si>
  <si>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</si>
  <si>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</si>
  <si>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</si>
  <si>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</si>
  <si>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</si>
  <si>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</si>
  <si>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</si>
  <si>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</si>
  <si>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</si>
  <si>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</si>
  <si>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</si>
  <si>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</si>
  <si>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</si>
  <si>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</si>
  <si>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</si>
  <si>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</si>
  <si>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</si>
  <si>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</si>
  <si>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</si>
  <si>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</si>
  <si>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</si>
  <si>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</si>
  <si>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</si>
  <si>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</si>
  <si>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</si>
  <si>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</si>
  <si>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</si>
  <si>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</si>
  <si>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</si>
  <si>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</si>
  <si>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</si>
  <si>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</si>
  <si>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</si>
  <si>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</si>
  <si>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</si>
  <si>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</si>
  <si>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</si>
  <si>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</si>
  <si>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</si>
  <si>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</si>
  <si>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</si>
  <si>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</si>
  <si>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</si>
  <si>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</si>
  <si>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</si>
  <si>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</si>
  <si>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</si>
  <si>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</si>
  <si>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</si>
  <si>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</si>
  <si>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</si>
  <si>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</si>
  <si>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</si>
  <si>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</si>
  <si>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</si>
  <si>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</si>
  <si>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</si>
  <si>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</si>
  <si>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</si>
  <si>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</si>
  <si>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</si>
  <si>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</si>
  <si>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</si>
  <si>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</si>
  <si>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</si>
  <si>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</si>
  <si>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</si>
  <si>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</si>
  <si>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</si>
  <si>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</si>
  <si>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</si>
  <si>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</si>
  <si>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</si>
  <si>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</si>
  <si>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</si>
  <si>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</si>
  <si>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</si>
  <si>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</si>
  <si>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</si>
  <si>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</si>
  <si>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</si>
  <si>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</si>
  <si>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</si>
  <si>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</si>
  <si>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</si>
  <si>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</si>
  <si>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</si>
  <si>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</si>
  <si>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</si>
  <si>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</si>
  <si>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</si>
  <si>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</si>
  <si>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</si>
  <si>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</si>
  <si>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</si>
  <si>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</si>
  <si>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</si>
  <si>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</si>
  <si>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</si>
  <si>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</si>
  <si>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</si>
  <si>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</si>
  <si>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</si>
  <si>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</si>
  <si>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</si>
  <si>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</si>
  <si>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</si>
  <si>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</si>
  <si>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</si>
  <si>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</si>
  <si>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</si>
  <si>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</si>
  <si>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</si>
  <si>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</si>
  <si>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</si>
  <si>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</si>
  <si>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</si>
  <si>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</si>
  <si>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</si>
  <si>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</si>
  <si>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</si>
  <si>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</si>
  <si>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</si>
  <si>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</si>
  <si>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</si>
  <si>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</si>
  <si>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</si>
  <si>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</si>
  <si>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</si>
  <si>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</si>
  <si>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</si>
  <si>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</si>
  <si>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</si>
  <si>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</si>
  <si>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</si>
  <si>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</si>
  <si>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</si>
  <si>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</si>
  <si>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</si>
  <si>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</si>
  <si>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</si>
  <si>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</si>
  <si>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</si>
  <si>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</si>
  <si>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</si>
  <si>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</si>
  <si>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</si>
  <si>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</si>
  <si>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</si>
  <si>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</si>
  <si>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</si>
  <si>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</si>
  <si>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</si>
  <si>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</si>
  <si>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</si>
  <si>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</si>
  <si>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</si>
  <si>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</si>
  <si>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</si>
  <si>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</si>
  <si>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</si>
  <si>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</si>
  <si>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</si>
  <si>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</si>
  <si>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</si>
  <si>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</si>
  <si>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</si>
  <si>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</si>
  <si>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</si>
  <si>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</si>
  <si>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</si>
  <si>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</si>
  <si>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</si>
  <si>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</si>
  <si>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</si>
  <si>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</si>
  <si>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</si>
  <si>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</si>
  <si>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</si>
  <si>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</si>
  <si>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</si>
  <si>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</si>
  <si>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</si>
  <si>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</si>
  <si>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</si>
  <si>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</si>
  <si>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</si>
  <si>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</si>
  <si>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</si>
  <si>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</si>
  <si>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</si>
  <si>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</si>
  <si>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</si>
  <si>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</si>
  <si>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</si>
  <si>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</si>
  <si>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</si>
  <si>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</si>
  <si>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</si>
  <si>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</si>
  <si>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</si>
  <si>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</si>
  <si>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</si>
  <si>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</si>
  <si>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</si>
  <si>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</si>
  <si>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</si>
  <si>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</si>
  <si>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</si>
  <si>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</si>
  <si>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</si>
  <si>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</si>
  <si>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</si>
  <si>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</si>
  <si>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</si>
  <si>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</si>
  <si>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</si>
  <si>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</si>
  <si>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</si>
  <si>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</si>
  <si>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</si>
  <si>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</si>
  <si>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</si>
  <si>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</si>
  <si>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</si>
  <si>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</si>
  <si>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</si>
  <si>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</si>
  <si>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</si>
  <si>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</si>
  <si>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</si>
  <si>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</si>
  <si>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</si>
  <si>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</si>
  <si>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</si>
  <si>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</si>
  <si>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</si>
  <si>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</si>
  <si>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</si>
  <si>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</si>
  <si>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</si>
  <si>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</si>
  <si>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</si>
  <si>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</si>
  <si>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</si>
  <si>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</si>
  <si>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</si>
  <si>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</si>
  <si>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</si>
  <si>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</si>
  <si>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</si>
  <si>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</si>
  <si>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</si>
  <si>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</si>
  <si>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</si>
  <si>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</si>
  <si>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</si>
  <si>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</si>
  <si>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</si>
  <si>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</si>
  <si>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</si>
  <si>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</si>
  <si>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</si>
  <si>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</si>
  <si>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</si>
  <si>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</si>
  <si>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</si>
  <si>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</si>
  <si>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</si>
  <si>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</si>
  <si>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</si>
  <si>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</si>
  <si>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</si>
  <si>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</si>
  <si>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</si>
  <si>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</si>
  <si>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</si>
  <si>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</si>
  <si>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</si>
  <si>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</si>
  <si>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</si>
  <si>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</si>
  <si>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</si>
  <si>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</si>
  <si>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</si>
  <si>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</si>
  <si>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</si>
  <si>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</si>
  <si>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</si>
  <si>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</si>
  <si>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</si>
  <si>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</si>
  <si>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</si>
  <si>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</si>
  <si>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</si>
  <si>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</si>
  <si>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</si>
  <si>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</si>
  <si>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</si>
  <si>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</si>
  <si>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</si>
  <si>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</si>
  <si>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</si>
  <si>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</si>
  <si>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</si>
  <si>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</si>
  <si>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</si>
  <si>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</si>
  <si>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</si>
  <si>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</si>
  <si>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</si>
  <si>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</si>
  <si>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</si>
  <si>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</si>
  <si>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</si>
  <si>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</si>
  <si>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</si>
  <si>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</si>
  <si>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</si>
  <si>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</si>
  <si>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</si>
  <si>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</si>
  <si>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</si>
  <si>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</si>
  <si>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</si>
  <si>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</si>
  <si>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</si>
  <si>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</si>
  <si>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</si>
  <si>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</si>
  <si>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</si>
  <si>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</si>
  <si>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</si>
  <si>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</si>
  <si>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</si>
  <si>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</si>
  <si>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</si>
  <si>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</si>
  <si>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</si>
  <si>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</si>
  <si>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</si>
  <si>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</si>
  <si>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</si>
  <si>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</si>
  <si>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</si>
  <si>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</si>
  <si>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</si>
  <si>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</si>
  <si>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</si>
  <si>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</si>
  <si>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</si>
  <si>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</si>
  <si>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</si>
  <si>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</si>
  <si>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</si>
  <si>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</si>
  <si>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</si>
  <si>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</si>
  <si>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</si>
  <si>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</si>
  <si>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</si>
  <si>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</si>
  <si>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</si>
  <si>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</si>
  <si>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</si>
  <si>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</si>
  <si>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</si>
  <si>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</si>
  <si>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</si>
  <si>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</si>
  <si>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</si>
  <si>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</si>
  <si>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</si>
  <si>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</si>
  <si>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</si>
  <si>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</si>
  <si>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</si>
  <si>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</si>
  <si>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</si>
  <si>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</si>
  <si>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</si>
  <si>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</si>
  <si>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</si>
  <si>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</si>
  <si>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</si>
  <si>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</si>
  <si>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</si>
  <si>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</si>
  <si>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</si>
  <si>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</si>
  <si>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</si>
  <si>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</si>
  <si>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</si>
  <si>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</si>
  <si>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</si>
  <si>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</si>
  <si>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</si>
  <si>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</si>
  <si>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</si>
  <si>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</si>
  <si>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</si>
  <si>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</si>
  <si>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</si>
  <si>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</si>
  <si>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</si>
  <si>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</si>
  <si>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</si>
  <si>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</si>
  <si>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</si>
  <si>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</si>
  <si>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</si>
  <si>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</si>
  <si>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</si>
  <si>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</si>
  <si>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</si>
  <si>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</si>
  <si>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</si>
  <si>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</si>
  <si>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</si>
  <si>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</si>
  <si>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</si>
  <si>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</si>
  <si>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</si>
  <si>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</si>
  <si>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</si>
  <si>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</si>
  <si>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</si>
  <si>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</si>
  <si>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</si>
  <si>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</si>
  <si>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</si>
  <si>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</si>
  <si>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</si>
  <si>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</si>
  <si>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</si>
  <si>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</si>
  <si>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</si>
  <si>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</si>
  <si>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</si>
  <si>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</si>
  <si>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</si>
  <si>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</si>
  <si>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</si>
  <si>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</si>
  <si>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</si>
  <si>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</si>
  <si>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</si>
  <si>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</si>
  <si>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</si>
  <si>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</si>
  <si>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</si>
  <si>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</si>
  <si>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</si>
  <si>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</si>
  <si>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</si>
  <si>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</si>
  <si>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</si>
  <si>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</si>
  <si>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</si>
  <si>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</si>
  <si>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</si>
  <si>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</si>
  <si>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</si>
  <si>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</si>
  <si>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</si>
  <si>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</si>
  <si>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</si>
  <si>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</si>
  <si>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</si>
  <si>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</si>
  <si>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</si>
  <si>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</si>
  <si>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</si>
  <si>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</si>
  <si>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</si>
  <si>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</si>
  <si>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</si>
  <si>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</si>
  <si>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</si>
  <si>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</si>
  <si>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</si>
  <si>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</si>
  <si>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</si>
  <si>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</si>
  <si>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</si>
  <si>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</si>
  <si>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</si>
  <si>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</si>
  <si>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</si>
  <si>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</si>
  <si>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</si>
  <si>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</si>
  <si>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</si>
  <si>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</si>
  <si>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</si>
  <si>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</si>
  <si>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</si>
  <si>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</si>
  <si>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</si>
  <si>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</si>
  <si>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</si>
  <si>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</si>
  <si>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</si>
  <si>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</si>
  <si>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</si>
  <si>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</si>
  <si>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</si>
  <si>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</si>
  <si>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</si>
  <si>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</si>
  <si>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</si>
  <si>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</si>
  <si>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</si>
  <si>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</si>
  <si>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</si>
  <si>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</si>
  <si>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</si>
  <si>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</si>
  <si>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</si>
  <si>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</si>
  <si>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</si>
  <si>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</si>
  <si>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</si>
  <si>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</si>
  <si>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</si>
  <si>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</si>
  <si>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</si>
  <si>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</si>
  <si>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</si>
  <si>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</si>
  <si>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</si>
  <si>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</si>
  <si>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</si>
  <si>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</si>
  <si>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</si>
  <si>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</si>
  <si>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</si>
  <si>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</si>
  <si>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</si>
  <si>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</si>
  <si>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</si>
  <si>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</si>
  <si>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</si>
  <si>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</si>
  <si>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</si>
  <si>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</si>
  <si>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</si>
  <si>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</si>
  <si>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</si>
  <si>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</si>
  <si>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</si>
  <si>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</si>
  <si>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</si>
  <si>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</si>
  <si>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</si>
  <si>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</si>
  <si>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</si>
  <si>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</si>
  <si>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</si>
  <si>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</si>
  <si>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</si>
  <si>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</si>
  <si>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</si>
  <si>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</si>
  <si>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</si>
  <si>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</si>
  <si>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</si>
  <si>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</si>
  <si>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</si>
  <si>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</si>
  <si>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</si>
  <si>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</si>
  <si>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</si>
  <si>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</si>
  <si>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</si>
  <si>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</si>
  <si>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</si>
  <si>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</si>
  <si>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</si>
  <si>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</si>
  <si>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</si>
  <si>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</si>
  <si>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</si>
  <si>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</si>
  <si>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</si>
  <si>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</si>
  <si>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</si>
  <si>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</si>
  <si>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</si>
  <si>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</si>
  <si>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</si>
  <si>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</si>
  <si>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</si>
  <si>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</si>
  <si>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</si>
  <si>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</si>
  <si>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</si>
  <si>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</si>
  <si>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</si>
  <si>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</si>
  <si>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</si>
  <si>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</si>
  <si>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</si>
  <si>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</si>
  <si>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</si>
  <si>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</si>
  <si>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</si>
  <si>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</si>
  <si>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</si>
  <si>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</si>
  <si>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</si>
  <si>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</si>
  <si>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</si>
  <si>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</si>
  <si>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</si>
  <si>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</si>
  <si>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</si>
  <si>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</si>
  <si>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</si>
  <si>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</si>
  <si>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</si>
  <si>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</si>
  <si>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</si>
  <si>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</si>
  <si>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</si>
  <si>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</si>
  <si>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</si>
  <si>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</si>
  <si>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</si>
  <si>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</si>
  <si>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</si>
  <si>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</si>
  <si>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</si>
  <si>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</si>
  <si>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</si>
  <si>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</si>
  <si>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</si>
  <si>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</si>
  <si>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</si>
  <si>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</si>
  <si>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</si>
  <si>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</si>
  <si>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</si>
  <si>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</si>
  <si>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</si>
  <si>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</si>
  <si>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</si>
  <si>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</si>
  <si>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</si>
  <si>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</si>
  <si>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</si>
  <si>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</si>
  <si>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</si>
  <si>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</si>
  <si>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</si>
  <si>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</si>
  <si>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</si>
  <si>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</si>
  <si>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</si>
  <si>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</si>
  <si>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</si>
  <si>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</si>
  <si>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</si>
  <si>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</si>
  <si>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</si>
  <si>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</si>
  <si>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</si>
  <si>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</si>
  <si>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</si>
  <si>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</si>
  <si>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</si>
  <si>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</si>
  <si>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</si>
  <si>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</si>
  <si>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</si>
  <si>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</si>
  <si>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</si>
  <si>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</si>
  <si>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</si>
  <si>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</si>
  <si>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</si>
  <si>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</si>
  <si>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</si>
  <si>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</si>
  <si>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</si>
  <si>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</si>
  <si>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</si>
  <si>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</si>
  <si>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</si>
  <si>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</si>
  <si>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</si>
  <si>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</si>
  <si>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</si>
  <si>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</si>
  <si>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</si>
  <si>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</si>
  <si>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</si>
  <si>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</si>
  <si>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</si>
  <si>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</si>
  <si>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</si>
  <si>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</si>
  <si>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</si>
  <si>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</si>
  <si>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</si>
  <si>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</si>
  <si>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</si>
  <si>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</si>
  <si>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</si>
  <si>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</si>
  <si>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</si>
  <si>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</si>
  <si>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</si>
  <si>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</si>
  <si>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</si>
  <si>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</si>
  <si>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</si>
  <si>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</si>
  <si>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</si>
  <si>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</si>
  <si>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</si>
  <si>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</si>
  <si>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</si>
  <si>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</si>
  <si>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</si>
  <si>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</si>
  <si>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</si>
  <si>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</si>
  <si>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</si>
  <si>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</si>
  <si>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</si>
  <si>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</si>
  <si>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</si>
  <si>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</si>
  <si>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</si>
  <si>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</si>
  <si>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</si>
  <si>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</si>
  <si>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</si>
  <si>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</si>
  <si>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</si>
  <si>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</si>
  <si>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</si>
  <si>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</si>
  <si>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</si>
  <si>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</si>
  <si>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</si>
  <si>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</si>
  <si>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</si>
  <si>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</si>
  <si>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</si>
  <si>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</si>
  <si>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</si>
  <si>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</si>
  <si>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</si>
  <si>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</si>
  <si>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</si>
  <si>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</si>
  <si>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</si>
  <si>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</si>
  <si>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</si>
  <si>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</si>
  <si>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</si>
  <si>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</si>
  <si>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</si>
  <si>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</si>
  <si>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</si>
  <si>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</si>
  <si>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</si>
  <si>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</si>
  <si>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</si>
  <si>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</si>
  <si>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</si>
  <si>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</si>
  <si>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</si>
  <si>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</si>
  <si>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</si>
  <si>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</si>
  <si>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</si>
  <si>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</si>
  <si>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</si>
  <si>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</si>
  <si>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</si>
  <si>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</si>
  <si>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</si>
  <si>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</si>
  <si>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</si>
  <si>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</si>
  <si>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</si>
  <si>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</si>
  <si>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</si>
  <si>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</si>
  <si>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</si>
  <si>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</si>
  <si>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</si>
  <si>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</si>
  <si>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</si>
  <si>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</si>
  <si>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</si>
  <si>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</si>
  <si>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</si>
  <si>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</si>
  <si>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</si>
  <si>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</si>
  <si>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</si>
  <si>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</si>
  <si>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</si>
  <si>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</si>
  <si>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</si>
  <si>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</si>
  <si>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</si>
  <si>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</si>
  <si>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</si>
  <si>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</si>
  <si>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</si>
  <si>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</si>
  <si>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</si>
  <si>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</si>
  <si>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</si>
  <si>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</si>
  <si>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</si>
  <si>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</si>
  <si>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</si>
  <si>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</si>
  <si>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</si>
  <si>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</si>
  <si>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</si>
  <si>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</si>
  <si>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</si>
  <si>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</si>
  <si>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</si>
  <si>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</si>
  <si>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</si>
  <si>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</si>
  <si>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</si>
  <si>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</si>
  <si>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</si>
  <si>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</si>
  <si>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</si>
  <si>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</si>
  <si>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</si>
  <si>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</si>
  <si>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</si>
  <si>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</si>
  <si>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</si>
  <si>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</si>
  <si>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</si>
  <si>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</si>
  <si>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</si>
  <si>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</si>
  <si>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</si>
  <si>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</si>
  <si>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</si>
  <si>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</si>
  <si>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</si>
  <si>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</si>
  <si>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</si>
  <si>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</si>
  <si>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</si>
  <si>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</si>
  <si>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</si>
  <si>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</si>
  <si>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</si>
  <si>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</si>
  <si>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</si>
  <si>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</si>
  <si>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</si>
  <si>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</si>
  <si>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</si>
  <si>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</si>
  <si>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</si>
  <si>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</si>
  <si>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</si>
  <si>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</si>
  <si>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</si>
  <si>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</si>
  <si>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</si>
  <si>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</si>
  <si>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</si>
  <si>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</si>
  <si>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</si>
  <si>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</si>
  <si>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</si>
  <si>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</si>
  <si>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</si>
  <si>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</si>
  <si>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</si>
  <si>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</si>
  <si>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</si>
  <si>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</si>
  <si>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</si>
  <si>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</si>
  <si>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</si>
  <si>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</si>
  <si>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</si>
  <si>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</si>
  <si>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</si>
  <si>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</si>
  <si>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</si>
  <si>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</si>
  <si>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</si>
  <si>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</si>
  <si>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</si>
  <si>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</si>
  <si>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</si>
  <si>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</si>
  <si>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</si>
  <si>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</si>
  <si>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</si>
  <si>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</si>
  <si>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</si>
  <si>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</si>
  <si>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</si>
  <si>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</si>
  <si>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</si>
  <si>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</si>
  <si>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</si>
  <si>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</si>
  <si>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</si>
  <si>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</si>
  <si>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</si>
  <si>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</si>
  <si>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</si>
  <si>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</si>
  <si>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</si>
  <si>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</si>
  <si>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</si>
  <si>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</si>
  <si>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</si>
  <si>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</si>
  <si>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</si>
  <si>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</si>
  <si>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</si>
  <si>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</si>
  <si>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</si>
  <si>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</si>
  <si>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</si>
  <si>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</si>
  <si>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</si>
  <si>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</si>
  <si>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</si>
  <si>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</si>
  <si>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</si>
  <si>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</si>
  <si>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</si>
  <si>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</si>
  <si>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</si>
  <si>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</si>
  <si>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</si>
  <si>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</si>
  <si>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</si>
  <si>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</si>
  <si>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</si>
  <si>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</si>
  <si>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</si>
  <si>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</si>
  <si>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</si>
  <si>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</si>
  <si>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</si>
  <si>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</si>
  <si>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</si>
  <si>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</si>
  <si>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</si>
  <si>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</si>
  <si>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</si>
  <si>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</si>
  <si>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</si>
  <si>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</si>
  <si>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</si>
  <si>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</si>
  <si>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</si>
  <si>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</si>
  <si>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</si>
  <si>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</si>
  <si>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</si>
  <si>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</si>
  <si>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</si>
  <si>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</si>
  <si>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</si>
  <si>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</si>
  <si>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</si>
  <si>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</si>
  <si>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</si>
  <si>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</si>
  <si>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</si>
  <si>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</si>
  <si>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</si>
  <si>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</si>
  <si>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</si>
  <si>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</si>
  <si>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</si>
  <si>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</si>
  <si>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</si>
  <si>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</si>
  <si>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</si>
  <si>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</si>
  <si>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</si>
  <si>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</si>
  <si>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</si>
  <si>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</si>
  <si>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</si>
  <si>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</si>
  <si>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</si>
  <si>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</si>
  <si>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</si>
  <si>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</si>
  <si>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</si>
  <si>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</si>
  <si>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</si>
  <si>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</si>
  <si>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</si>
  <si>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</si>
  <si>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</si>
  <si>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</si>
  <si>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</si>
  <si>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</si>
  <si>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</si>
  <si>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</si>
  <si>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</si>
  <si>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</si>
  <si>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</si>
  <si>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</si>
  <si>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</si>
  <si>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</si>
  <si>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</si>
  <si>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</si>
  <si>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</si>
  <si>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</si>
  <si>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</si>
  <si>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</si>
  <si>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</si>
  <si>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</si>
  <si>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</si>
  <si>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</si>
  <si>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</si>
  <si>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</si>
  <si>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</si>
  <si>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</si>
  <si>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</si>
  <si>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</si>
  <si>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</si>
  <si>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</si>
  <si>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</si>
  <si>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</si>
  <si>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</si>
  <si>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</si>
  <si>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</si>
  <si>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</si>
  <si>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</si>
  <si>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</si>
  <si>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</si>
  <si>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</si>
  <si>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</si>
  <si>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</si>
  <si>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</si>
  <si>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</si>
  <si>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</si>
  <si>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</si>
  <si>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</si>
  <si>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</si>
  <si>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</si>
  <si>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</si>
  <si>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</si>
  <si>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</si>
  <si>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</si>
  <si>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</si>
  <si>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</si>
  <si>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</si>
  <si>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</si>
  <si>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</si>
  <si>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</si>
  <si>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</si>
  <si>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</si>
  <si>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</si>
  <si>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</si>
  <si>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</si>
  <si>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</si>
  <si>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</si>
  <si>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</si>
  <si>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</si>
  <si>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</si>
  <si>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</si>
  <si>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</si>
  <si>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</si>
  <si>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</si>
  <si>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</si>
  <si>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</si>
  <si>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</si>
  <si>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</si>
  <si>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</si>
  <si>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</si>
  <si>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</si>
  <si>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</si>
  <si>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</si>
  <si>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</si>
  <si>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</si>
  <si>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</si>
  <si>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</si>
  <si>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</si>
  <si>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</si>
  <si>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</si>
  <si>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</si>
  <si>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</si>
  <si>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</si>
  <si>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</si>
  <si>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</si>
  <si>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</si>
  <si>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</si>
  <si>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</si>
  <si>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</si>
  <si>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</si>
  <si>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</si>
  <si>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</si>
  <si>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</si>
  <si>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</si>
  <si>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</si>
  <si>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</si>
  <si>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</si>
  <si>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</si>
  <si>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</si>
  <si>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</si>
  <si>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</si>
  <si>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</si>
  <si>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</si>
  <si>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</si>
  <si>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</si>
  <si>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</si>
  <si>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</si>
  <si>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</si>
  <si>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</si>
  <si>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</si>
  <si>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</si>
  <si>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</si>
  <si>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</si>
  <si>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</si>
  <si>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</si>
  <si>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</si>
  <si>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</si>
  <si>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</si>
  <si>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</si>
  <si>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</si>
  <si>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</si>
  <si>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</si>
  <si>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</si>
  <si>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</si>
  <si>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</si>
  <si>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</si>
  <si>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</si>
  <si>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</si>
  <si>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</si>
  <si>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</si>
  <si>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</si>
  <si>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</si>
  <si>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</si>
  <si>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</si>
  <si>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</si>
  <si>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</si>
  <si>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</si>
  <si>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</si>
  <si>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</si>
  <si>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</si>
  <si>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</si>
  <si>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</si>
  <si>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</si>
  <si>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</si>
  <si>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</si>
  <si>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</si>
  <si>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</si>
  <si>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</si>
  <si>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</si>
  <si>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</si>
  <si>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</si>
  <si>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</si>
  <si>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</si>
  <si>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</si>
  <si>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</si>
  <si>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</si>
  <si>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</si>
  <si>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</si>
  <si>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</si>
  <si>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</si>
  <si>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</si>
  <si>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</si>
  <si>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</si>
  <si>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</si>
  <si>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</si>
  <si>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</si>
  <si>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</si>
  <si>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</si>
  <si>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</si>
  <si>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</si>
  <si>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</si>
  <si>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</si>
  <si>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</si>
  <si>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</si>
  <si>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</si>
  <si>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</si>
  <si>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</si>
  <si>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</si>
  <si>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</si>
  <si>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</si>
  <si>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</si>
  <si>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</si>
  <si>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</si>
  <si>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</si>
  <si>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</si>
  <si>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</si>
  <si>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</si>
  <si>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</si>
  <si>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</si>
  <si>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</si>
  <si>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</si>
  <si>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</si>
  <si>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</si>
  <si>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</si>
  <si>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</si>
  <si>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</si>
  <si>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</si>
  <si>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</si>
  <si>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</si>
  <si>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</si>
  <si>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</si>
  <si>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</si>
  <si>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</si>
  <si>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</si>
  <si>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</si>
  <si>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</si>
  <si>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</si>
  <si>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</si>
  <si>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</si>
  <si>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</si>
  <si>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</si>
  <si>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</si>
  <si>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</si>
  <si>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</si>
  <si>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</si>
  <si>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</si>
  <si>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</si>
  <si>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</si>
  <si>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</si>
  <si>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</si>
  <si>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</si>
  <si>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</si>
  <si>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</si>
  <si>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</si>
  <si>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</si>
  <si>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</si>
  <si>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</si>
  <si>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</si>
  <si>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</si>
  <si>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</si>
  <si>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</si>
  <si>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</si>
  <si>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</si>
  <si>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</si>
  <si>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</si>
  <si>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</si>
  <si>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</si>
  <si>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</si>
  <si>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</si>
  <si>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</si>
  <si>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</si>
  <si>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</si>
  <si>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</si>
  <si>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</si>
  <si>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</si>
  <si>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</si>
  <si>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</si>
  <si>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</si>
  <si>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</si>
  <si>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</si>
  <si>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</si>
  <si>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</si>
  <si>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</si>
  <si>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</si>
  <si>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</si>
  <si>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</si>
  <si>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</si>
  <si>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</si>
  <si>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</si>
  <si>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</si>
  <si>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</si>
  <si>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</si>
  <si>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</si>
  <si>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</si>
  <si>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</si>
  <si>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</si>
  <si>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</si>
  <si>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</si>
  <si>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</si>
  <si>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</si>
  <si>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</si>
  <si>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</si>
  <si>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</si>
  <si>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</si>
  <si>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</si>
  <si>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</si>
  <si>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</si>
  <si>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</si>
  <si>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</si>
  <si>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</si>
  <si>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</si>
  <si>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</si>
  <si>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</si>
  <si>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</si>
  <si>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</si>
  <si>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</si>
  <si>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</si>
  <si>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</si>
  <si>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</si>
  <si>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</si>
  <si>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</si>
  <si>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</si>
  <si>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</si>
  <si>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</si>
  <si>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</si>
  <si>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</si>
  <si>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</si>
  <si>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</si>
  <si>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</si>
  <si>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</si>
  <si>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</si>
  <si>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</si>
  <si>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</si>
  <si>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</si>
  <si>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</si>
  <si>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</si>
  <si>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</si>
  <si>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</si>
  <si>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</si>
  <si>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</si>
  <si>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</si>
  <si>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</si>
  <si>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</si>
  <si>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</si>
  <si>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</si>
  <si>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</si>
  <si>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</si>
  <si>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</si>
  <si>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</si>
  <si>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</si>
  <si>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</si>
  <si>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</si>
  <si>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</si>
  <si>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</si>
  <si>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</si>
  <si>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</si>
  <si>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</si>
  <si>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</si>
  <si>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</si>
  <si>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</si>
  <si>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</si>
  <si>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</si>
  <si>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</si>
  <si>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</si>
  <si>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</si>
  <si>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</si>
  <si>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</si>
  <si>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</si>
  <si>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</si>
  <si>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</si>
  <si>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</si>
  <si>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</si>
  <si>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</si>
  <si>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</si>
  <si>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</si>
  <si>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</si>
  <si>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</si>
  <si>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</si>
  <si>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</si>
  <si>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</si>
  <si>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</si>
  <si>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</si>
  <si>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</si>
  <si>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</si>
  <si>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</si>
  <si>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</si>
  <si>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</si>
  <si>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</si>
  <si>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</si>
  <si>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</si>
  <si>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</si>
  <si>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</si>
  <si>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</si>
  <si>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</si>
  <si>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</si>
  <si>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</si>
  <si>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</si>
  <si>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</si>
  <si>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</si>
  <si>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</si>
  <si>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</si>
  <si>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</si>
  <si>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</si>
  <si>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</si>
  <si>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</si>
  <si>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</si>
  <si>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</si>
  <si>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</si>
  <si>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</si>
  <si>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</si>
  <si>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</si>
  <si>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</si>
  <si>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</si>
  <si>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</si>
  <si>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</si>
  <si>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</si>
  <si>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</si>
  <si>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</si>
  <si>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</si>
  <si>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</si>
  <si>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</si>
  <si>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</si>
  <si>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</si>
  <si>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</si>
  <si>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</si>
  <si>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</si>
  <si>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</si>
  <si>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</si>
  <si>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</si>
  <si>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</si>
  <si>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</si>
  <si>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</si>
  <si>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</si>
  <si>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</si>
  <si>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</si>
  <si>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</si>
  <si>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</si>
  <si>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</si>
  <si>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</si>
  <si>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</si>
  <si>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</si>
  <si>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</si>
  <si>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</si>
  <si>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</si>
  <si>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</si>
  <si>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</si>
  <si>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</si>
  <si>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</si>
  <si>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</si>
  <si>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</si>
  <si>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</si>
  <si>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</si>
  <si>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</si>
  <si>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</si>
  <si>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</si>
  <si>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</si>
  <si>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</si>
  <si>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</si>
  <si>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</si>
  <si>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</si>
  <si>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</si>
  <si>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</si>
  <si>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</si>
  <si>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</si>
  <si>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</si>
  <si>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</si>
  <si>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</si>
  <si>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</si>
  <si>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</si>
  <si>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</si>
  <si>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</si>
  <si>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</si>
  <si>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</si>
  <si>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</si>
  <si>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</si>
  <si>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</si>
  <si>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</si>
  <si>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</si>
  <si>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</si>
  <si>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</si>
  <si>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</si>
  <si>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</si>
  <si>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</si>
  <si>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</si>
  <si>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</si>
  <si>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</si>
  <si>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</si>
  <si>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</si>
  <si>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</si>
  <si>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</si>
  <si>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</si>
  <si>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</si>
  <si>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</si>
  <si>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</si>
  <si>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</si>
  <si>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</si>
  <si>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</si>
  <si>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</si>
  <si>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</si>
  <si>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</si>
  <si>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</si>
  <si>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</si>
  <si>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</si>
  <si>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</si>
  <si>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</si>
  <si>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</si>
  <si>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</si>
  <si>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</si>
  <si>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</si>
  <si>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</si>
  <si>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</si>
  <si>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</si>
  <si>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</si>
  <si>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</si>
  <si>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</si>
  <si>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</si>
  <si>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</si>
  <si>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</si>
  <si>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</si>
  <si>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</si>
  <si>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</si>
  <si>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</si>
  <si>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</si>
  <si>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</si>
  <si>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</si>
  <si>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</si>
  <si>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</si>
  <si>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</si>
  <si>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</si>
  <si>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</si>
  <si>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</si>
  <si>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</si>
  <si>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</si>
  <si>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</si>
  <si>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</si>
  <si>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</si>
  <si>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</si>
  <si>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</si>
  <si>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</si>
  <si>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</si>
  <si>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</si>
  <si>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</si>
  <si>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</si>
  <si>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</si>
  <si>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</si>
  <si>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</si>
  <si>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</si>
  <si>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</si>
  <si>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</si>
  <si>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</si>
  <si>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</si>
  <si>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</si>
  <si>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</si>
  <si>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</si>
  <si>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</si>
  <si>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</si>
  <si>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</si>
  <si>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</si>
  <si>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</si>
  <si>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</si>
  <si>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</si>
  <si>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</si>
  <si>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</si>
  <si>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</si>
  <si>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</si>
  <si>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</si>
  <si>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</si>
  <si>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</si>
  <si>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</si>
  <si>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</si>
  <si>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</si>
  <si>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</si>
  <si>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</si>
  <si>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</si>
  <si>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</si>
  <si>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</si>
  <si>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</si>
  <si>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</si>
  <si>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</si>
  <si>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</si>
  <si>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</si>
  <si>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</si>
  <si>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</si>
  <si>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</si>
  <si>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</si>
  <si>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</si>
  <si>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</si>
  <si>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</si>
  <si>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</si>
  <si>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</si>
  <si>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</si>
  <si>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</si>
  <si>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</si>
  <si>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</si>
  <si>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</si>
  <si>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</si>
  <si>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</si>
  <si>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</si>
  <si>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</si>
  <si>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</si>
  <si>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</si>
  <si>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</si>
  <si>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</si>
  <si>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</si>
  <si>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</si>
  <si>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</si>
  <si>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</si>
  <si>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</si>
  <si>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</si>
  <si>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</si>
  <si>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</si>
  <si>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</si>
  <si>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</si>
  <si>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</si>
  <si>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</si>
  <si>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</si>
  <si>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</si>
  <si>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</si>
  <si>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</si>
  <si>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</si>
  <si>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</si>
  <si>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</si>
  <si>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</si>
  <si>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</si>
  <si>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</si>
  <si>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</si>
  <si>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</si>
  <si>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</si>
  <si>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</si>
  <si>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</si>
  <si>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</si>
  <si>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</si>
  <si>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</si>
  <si>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</si>
  <si>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</si>
  <si>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</si>
  <si>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</si>
  <si>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</si>
  <si>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</si>
  <si>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</si>
  <si>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</si>
  <si>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</si>
  <si>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</si>
  <si>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</si>
  <si>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</si>
  <si>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</si>
  <si>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</si>
  <si>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</si>
  <si>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</si>
  <si>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</si>
  <si>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</si>
  <si>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</si>
  <si>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</si>
  <si>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</si>
  <si>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</si>
  <si>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</si>
  <si>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</si>
  <si>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</si>
  <si>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</si>
  <si>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</si>
  <si>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</si>
  <si>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</si>
  <si>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</si>
  <si>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</si>
  <si>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</si>
  <si>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</si>
  <si>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</si>
  <si>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</si>
  <si>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</si>
  <si>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</si>
  <si>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</si>
  <si>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</si>
  <si>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</si>
  <si>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</si>
  <si>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</si>
  <si>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</si>
  <si>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</si>
  <si>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</si>
  <si>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</si>
  <si>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</si>
  <si>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</si>
  <si>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</si>
  <si>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</si>
  <si>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</si>
  <si>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</si>
  <si>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</si>
  <si>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</si>
  <si>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</si>
  <si>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</si>
  <si>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</si>
  <si>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</si>
  <si>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</si>
  <si>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</si>
  <si>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</si>
  <si>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</si>
  <si>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</si>
  <si>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</si>
  <si>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</si>
  <si>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</si>
  <si>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</si>
  <si>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</si>
  <si>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</si>
  <si>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</si>
  <si>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</si>
  <si>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</si>
  <si>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</si>
  <si>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</si>
  <si>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</si>
  <si>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</si>
  <si>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</si>
  <si>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</si>
  <si>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</si>
  <si>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</si>
  <si>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</si>
  <si>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</si>
  <si>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</si>
  <si>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</si>
  <si>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</si>
  <si>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</si>
  <si>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</si>
  <si>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</si>
  <si>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</si>
  <si>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</si>
  <si>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</si>
  <si>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</si>
  <si>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</si>
  <si>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</si>
  <si>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</si>
  <si>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</si>
  <si>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</si>
  <si>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</si>
  <si>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</si>
  <si>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</si>
  <si>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</si>
  <si>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</si>
  <si>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</si>
  <si>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</si>
  <si>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</si>
  <si>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</si>
  <si>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</si>
  <si>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</si>
  <si>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</si>
  <si>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</si>
  <si>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</si>
  <si>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</si>
  <si>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</si>
  <si>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</si>
  <si>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</si>
  <si>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</si>
  <si>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</si>
  <si>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</si>
  <si>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</si>
  <si>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</si>
  <si>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</si>
  <si>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</si>
  <si>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</si>
  <si>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</si>
  <si>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</si>
  <si>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</si>
  <si>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</si>
  <si>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</si>
  <si>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</si>
  <si>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</si>
  <si>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</si>
  <si>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</si>
  <si>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</si>
  <si>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</si>
  <si>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</si>
  <si>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</si>
  <si>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</si>
  <si>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</si>
  <si>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</si>
  <si>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</si>
  <si>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</si>
  <si>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</si>
  <si>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</si>
  <si>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</si>
  <si>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</si>
  <si>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</si>
  <si>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</si>
  <si>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</si>
  <si>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</si>
  <si>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</si>
  <si>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</si>
  <si>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</si>
  <si>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</si>
  <si>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</si>
  <si>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</si>
  <si>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</si>
  <si>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</si>
  <si>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</si>
  <si>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</si>
  <si>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</si>
  <si>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</si>
  <si>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</si>
  <si>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</si>
  <si>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</si>
  <si>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</si>
  <si>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</si>
  <si>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</si>
  <si>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</si>
  <si>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</si>
  <si>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</si>
  <si>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</si>
  <si>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</si>
  <si>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</si>
  <si>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</si>
  <si>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</si>
  <si>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</si>
  <si>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</si>
  <si>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</si>
  <si>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</si>
  <si>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</si>
  <si>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</si>
  <si>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</si>
  <si>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</si>
  <si>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</si>
  <si>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</si>
  <si>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</si>
  <si>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</si>
  <si>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</si>
  <si>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</si>
  <si>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</si>
  <si>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</si>
  <si>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</si>
  <si>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</si>
  <si>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</si>
  <si>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</si>
  <si>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</si>
  <si>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</si>
  <si>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</si>
  <si>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</si>
  <si>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</si>
  <si>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</si>
  <si>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</si>
  <si>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</si>
  <si>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</si>
  <si>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</si>
  <si>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</si>
  <si>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</si>
  <si>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</si>
  <si>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</si>
  <si>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</si>
  <si>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</si>
  <si>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</si>
  <si>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</si>
  <si>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</si>
  <si>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</si>
  <si>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</si>
  <si>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</si>
  <si>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</si>
  <si>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</si>
  <si>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</si>
  <si>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</si>
  <si>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</si>
  <si>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</si>
  <si>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</si>
  <si>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</si>
  <si>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</si>
  <si>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</si>
  <si>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</si>
  <si>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</si>
  <si>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</si>
  <si>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</si>
  <si>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</si>
  <si>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</si>
  <si>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</si>
  <si>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</si>
  <si>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</si>
  <si>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</si>
  <si>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</si>
  <si>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</si>
  <si>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</si>
  <si>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</si>
  <si>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</si>
  <si>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</si>
  <si>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</si>
  <si>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</si>
  <si>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</si>
  <si>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</si>
  <si>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</si>
  <si>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</si>
  <si>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</si>
  <si>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</si>
  <si>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</si>
  <si>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</si>
  <si>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</si>
  <si>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</si>
  <si>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</si>
  <si>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</si>
  <si>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</si>
  <si>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</si>
  <si>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</si>
  <si>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</si>
  <si>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</si>
  <si>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</si>
  <si>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</si>
  <si>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</si>
  <si>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</si>
  <si>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</si>
  <si>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</si>
  <si>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</si>
  <si>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</si>
  <si>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</si>
  <si>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</si>
  <si>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</si>
  <si>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</si>
  <si>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</si>
  <si>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</si>
  <si>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</si>
  <si>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</si>
  <si>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</si>
  <si>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</si>
  <si>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</si>
  <si>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</si>
  <si>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</si>
  <si>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</si>
  <si>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</si>
  <si>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</si>
  <si>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</si>
  <si>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</si>
  <si>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</si>
  <si>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</si>
  <si>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</si>
  <si>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</si>
  <si>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</si>
  <si>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</si>
  <si>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</si>
  <si>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</si>
  <si>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</si>
  <si>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</si>
  <si>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</si>
  <si>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</si>
  <si>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</si>
  <si>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</si>
  <si>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</si>
  <si>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</si>
  <si>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</si>
  <si>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</si>
  <si>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</si>
  <si>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</si>
  <si>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</si>
  <si>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</si>
  <si>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</si>
  <si>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</si>
  <si>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</si>
  <si>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</si>
  <si>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</si>
  <si>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</si>
  <si>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</si>
  <si>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</si>
  <si>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</si>
  <si>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</si>
  <si>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</si>
  <si>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</si>
  <si>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</si>
  <si>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</si>
  <si>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</si>
  <si>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</si>
  <si>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</si>
  <si>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</si>
  <si>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</si>
  <si>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</si>
  <si>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</si>
  <si>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</si>
  <si>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</si>
  <si>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</si>
  <si>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</si>
  <si>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</si>
  <si>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</si>
  <si>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</si>
  <si>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</si>
  <si>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</si>
  <si>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</si>
  <si>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</si>
  <si>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</si>
  <si>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</si>
  <si>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</si>
  <si>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</si>
  <si>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</si>
  <si>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</si>
  <si>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</si>
  <si>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</si>
  <si>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</si>
  <si>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</si>
  <si>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</si>
  <si>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</si>
  <si>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</si>
  <si>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</si>
  <si>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</si>
  <si>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</si>
  <si>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</si>
  <si>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</si>
  <si>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</si>
  <si>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</si>
  <si>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</si>
  <si>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</si>
  <si>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</si>
  <si>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</si>
  <si>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</si>
  <si>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</si>
  <si>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</si>
  <si>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</si>
  <si>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</si>
  <si>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</si>
  <si>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</si>
  <si>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</si>
  <si>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</si>
  <si>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</si>
  <si>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</si>
  <si>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</si>
  <si>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</si>
  <si>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</si>
  <si>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</si>
  <si>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</si>
  <si>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</si>
  <si>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</si>
  <si>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</si>
  <si>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</si>
  <si>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</si>
  <si>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</si>
  <si>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</si>
  <si>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</si>
  <si>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</si>
  <si>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</si>
  <si>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</si>
  <si>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</si>
  <si>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</si>
  <si>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</si>
  <si>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</si>
  <si>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</si>
  <si>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</si>
  <si>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</si>
  <si>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</si>
  <si>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</si>
  <si>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</si>
  <si>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</si>
  <si>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</si>
  <si>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</si>
  <si>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</si>
  <si>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</si>
  <si>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</si>
  <si>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</si>
  <si>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</si>
  <si>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</si>
  <si>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</si>
  <si>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</si>
  <si>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</si>
  <si>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</si>
  <si>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</si>
  <si>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</si>
  <si>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</si>
  <si>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</si>
  <si>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</si>
  <si>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</si>
  <si>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</si>
  <si>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</si>
  <si>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</si>
  <si>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</si>
  <si>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</si>
  <si>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</si>
  <si>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</si>
  <si>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</si>
  <si>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</si>
  <si>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</si>
  <si>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</si>
  <si>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</si>
  <si>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</si>
  <si>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</si>
  <si>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</si>
  <si>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</si>
  <si>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</si>
  <si>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</si>
  <si>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</si>
  <si>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</si>
  <si>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</si>
  <si>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</si>
  <si>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</si>
  <si>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</si>
  <si>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</si>
  <si>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</si>
  <si>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</si>
  <si>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</si>
  <si>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</si>
  <si>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</si>
  <si>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</si>
  <si>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</si>
  <si>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</si>
  <si>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</si>
  <si>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</si>
  <si>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</si>
  <si>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</si>
  <si>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</si>
  <si>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</si>
  <si>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</si>
  <si>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</si>
  <si>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</si>
  <si>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</si>
  <si>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</si>
  <si>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</si>
  <si>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</si>
  <si>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</si>
  <si>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</si>
  <si>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</si>
  <si>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</si>
  <si>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</si>
  <si>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</si>
  <si>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</si>
  <si>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</si>
  <si>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</si>
  <si>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</si>
  <si>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</si>
  <si>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</si>
  <si>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</si>
  <si>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</si>
  <si>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</si>
  <si>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</si>
  <si>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</si>
  <si>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</si>
  <si>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</si>
  <si>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</si>
  <si>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</si>
  <si>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</si>
  <si>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</si>
  <si>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</si>
  <si>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</si>
  <si>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</si>
  <si>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</si>
  <si>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</si>
  <si>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</si>
  <si>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</si>
  <si>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</si>
  <si>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</si>
  <si>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</si>
  <si>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</si>
  <si>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</si>
  <si>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</si>
  <si>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</si>
  <si>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</si>
  <si>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</si>
  <si>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</si>
  <si>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</si>
  <si>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</si>
  <si>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</si>
  <si>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</si>
  <si>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</si>
  <si>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</si>
  <si>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</si>
  <si>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</si>
  <si>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</si>
  <si>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</si>
  <si>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</si>
  <si>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</si>
  <si>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</si>
  <si>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</si>
  <si>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</si>
  <si>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</si>
  <si>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</si>
  <si>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</si>
  <si>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</si>
  <si>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</si>
  <si>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</si>
  <si>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</si>
  <si>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</si>
  <si>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</si>
  <si>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</si>
  <si>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</si>
  <si>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</si>
  <si>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</si>
  <si>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</si>
  <si>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</si>
  <si>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</si>
  <si>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</si>
  <si>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</si>
  <si>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</si>
  <si>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</si>
  <si>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</si>
  <si>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</si>
  <si>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</si>
  <si>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</si>
  <si>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</si>
  <si>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</si>
  <si>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</si>
  <si>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</si>
  <si>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</si>
  <si>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</si>
  <si>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</si>
  <si>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</si>
  <si>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</si>
  <si>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</si>
  <si>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</si>
  <si>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</si>
  <si>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</si>
  <si>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</si>
  <si>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</si>
  <si>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</si>
  <si>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</si>
  <si>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</si>
  <si>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</si>
  <si>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</si>
  <si>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</si>
  <si>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</si>
  <si>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</si>
  <si>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</si>
  <si>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</si>
  <si>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</si>
  <si>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</si>
  <si>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</si>
  <si>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</si>
  <si>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</si>
  <si>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</si>
  <si>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</si>
  <si>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</si>
  <si>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</si>
  <si>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</si>
  <si>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</si>
  <si>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</si>
  <si>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</si>
  <si>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</si>
  <si>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</si>
  <si>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</si>
  <si>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</si>
  <si>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</si>
  <si>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</si>
  <si>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</si>
  <si>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</si>
  <si>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</si>
  <si>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</si>
  <si>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</si>
  <si>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</si>
  <si>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</si>
  <si>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</si>
  <si>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</si>
  <si>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</si>
  <si>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</si>
  <si>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</si>
  <si>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</si>
  <si>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</si>
  <si>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</si>
  <si>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</si>
  <si>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</si>
  <si>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</si>
  <si>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</si>
  <si>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</si>
  <si>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</si>
  <si>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</si>
  <si>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</si>
  <si>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</si>
  <si>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</si>
  <si>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</si>
  <si>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</si>
  <si>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</si>
  <si>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</si>
  <si>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</si>
  <si>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</si>
  <si>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</si>
  <si>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</si>
  <si>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</si>
  <si>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</si>
  <si>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</si>
  <si>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</si>
  <si>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</si>
  <si>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</si>
  <si>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</si>
  <si>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</si>
  <si>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</si>
  <si>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</si>
  <si>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</si>
  <si>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</si>
  <si>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</si>
  <si>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</si>
  <si>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</si>
  <si>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</si>
  <si>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</si>
  <si>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</si>
  <si>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</si>
  <si>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</si>
  <si>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</si>
  <si>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</si>
  <si>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</si>
  <si>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</si>
  <si>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</si>
  <si>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</si>
  <si>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</si>
  <si>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</si>
  <si>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</si>
  <si>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</si>
  <si>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</si>
  <si>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</si>
  <si>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</si>
  <si>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</si>
  <si>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</si>
  <si>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</si>
  <si>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</si>
  <si>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</si>
  <si>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</si>
  <si>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</si>
  <si>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</si>
  <si>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</si>
  <si>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</si>
  <si>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</si>
  <si>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</si>
  <si>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</si>
  <si>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</si>
  <si>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</si>
  <si>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</si>
  <si>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</si>
  <si>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</si>
  <si>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</si>
  <si>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</si>
  <si>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</si>
  <si>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</si>
  <si>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</si>
  <si>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</si>
  <si>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</si>
  <si>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</si>
  <si>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</si>
  <si>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</si>
  <si>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</si>
  <si>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</si>
  <si>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</si>
  <si>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</si>
  <si>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</si>
  <si>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</si>
  <si>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</si>
  <si>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</si>
  <si>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</si>
  <si>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</si>
  <si>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</si>
  <si>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</si>
  <si>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</si>
  <si>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</si>
  <si>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</si>
  <si>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</si>
  <si>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</si>
  <si>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</si>
  <si>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</si>
  <si>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</si>
  <si>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</si>
  <si>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</si>
  <si>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</si>
  <si>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</si>
  <si>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</si>
  <si>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</si>
  <si>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</si>
  <si>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</si>
  <si>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</si>
  <si>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</si>
  <si>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</si>
  <si>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</si>
  <si>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</si>
  <si>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</si>
  <si>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</si>
  <si>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</si>
  <si>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</si>
  <si>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</si>
  <si>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</si>
  <si>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</si>
  <si>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</si>
  <si>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</si>
  <si>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</si>
  <si>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</si>
  <si>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</si>
  <si>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</si>
  <si>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</si>
  <si>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</si>
  <si>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</si>
  <si>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</si>
  <si>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</si>
  <si>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</si>
  <si>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</si>
  <si>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</si>
  <si>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</si>
  <si>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</si>
  <si>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</si>
  <si>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</si>
  <si>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</si>
  <si>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</si>
  <si>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</si>
  <si>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</si>
  <si>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</si>
  <si>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</si>
  <si>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</si>
  <si>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</si>
  <si>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</si>
  <si>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</si>
  <si>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</si>
  <si>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</si>
  <si>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</si>
  <si>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</si>
  <si>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</si>
  <si>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</si>
  <si>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</si>
  <si>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</si>
  <si>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</si>
  <si>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</si>
  <si>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</si>
  <si>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</si>
  <si>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</si>
  <si>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</si>
  <si>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</si>
  <si>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</si>
  <si>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</si>
  <si>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</si>
  <si>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</si>
  <si>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</si>
  <si>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</si>
  <si>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</si>
  <si>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</si>
  <si>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</si>
  <si>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</si>
  <si>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</si>
  <si>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</si>
  <si>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</si>
  <si>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</si>
  <si>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</si>
  <si>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</si>
  <si>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</si>
  <si>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</si>
  <si>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</si>
  <si>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</si>
  <si>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</si>
  <si>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</si>
  <si>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</si>
  <si>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</si>
  <si>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</si>
  <si>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</si>
  <si>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</si>
  <si>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</si>
  <si>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</si>
  <si>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</si>
  <si>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</si>
  <si>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</si>
  <si>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</si>
  <si>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</si>
  <si>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</si>
  <si>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</si>
  <si>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</si>
  <si>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</si>
  <si>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</si>
  <si>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</si>
  <si>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</si>
  <si>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</si>
  <si>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</si>
  <si>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</si>
  <si>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</si>
  <si>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</si>
  <si>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</si>
  <si>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</si>
  <si>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</si>
  <si>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</si>
  <si>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</si>
  <si>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</si>
  <si>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</si>
  <si>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</si>
  <si>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</si>
  <si>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</si>
  <si>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</si>
  <si>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</si>
  <si>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</si>
  <si>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</si>
  <si>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</si>
  <si>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</si>
  <si>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</si>
  <si>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</si>
  <si>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</si>
  <si>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</si>
  <si>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</si>
  <si>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</si>
  <si>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</si>
  <si>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</si>
  <si>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</si>
  <si>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</si>
  <si>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</si>
  <si>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</si>
  <si>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</si>
  <si>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</si>
  <si>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</si>
  <si>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</si>
  <si>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</si>
  <si>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</si>
  <si>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</si>
  <si>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</si>
  <si>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</si>
  <si>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</si>
  <si>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</si>
  <si>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</si>
  <si>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</si>
  <si>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</si>
  <si>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</si>
  <si>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</si>
  <si>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</si>
  <si>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</si>
  <si>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</si>
  <si>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</si>
  <si>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</si>
  <si>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</si>
  <si>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</si>
  <si>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</si>
  <si>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</si>
  <si>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</si>
  <si>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</si>
  <si>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</si>
  <si>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</si>
  <si>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</si>
  <si>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</si>
  <si>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</si>
  <si>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</si>
  <si>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</si>
  <si>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</si>
  <si>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</si>
  <si>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</si>
  <si>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</si>
  <si>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</si>
  <si>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</si>
  <si>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</si>
  <si>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</si>
  <si>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</si>
  <si>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</si>
  <si>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</si>
  <si>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</si>
  <si>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</si>
  <si>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</si>
  <si>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</si>
  <si>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</si>
  <si>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</si>
  <si>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</si>
  <si>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</si>
  <si>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</si>
  <si>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</si>
  <si>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</si>
  <si>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</si>
  <si>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</si>
  <si>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</si>
  <si>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</si>
  <si>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</si>
  <si>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</si>
  <si>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</si>
  <si>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</si>
  <si>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</si>
  <si>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</si>
  <si>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</si>
  <si>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</si>
  <si>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</si>
  <si>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</si>
  <si>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</si>
  <si>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</si>
  <si>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</si>
  <si>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</si>
  <si>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</si>
  <si>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</si>
  <si>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</si>
  <si>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</si>
  <si>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</si>
  <si>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</si>
  <si>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</si>
  <si>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</si>
  <si>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</si>
  <si>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</si>
  <si>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</si>
  <si>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</si>
  <si>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</si>
  <si>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</si>
  <si>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</si>
  <si>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</si>
  <si>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</si>
  <si>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</si>
  <si>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</si>
  <si>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</si>
  <si>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</si>
  <si>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</si>
  <si>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</si>
  <si>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</si>
  <si>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</si>
  <si>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</si>
  <si>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</si>
  <si>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</si>
  <si>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</si>
  <si>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</si>
  <si>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</si>
  <si>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</si>
  <si>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</si>
  <si>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</si>
  <si>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</si>
  <si>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</si>
  <si>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</si>
  <si>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</si>
  <si>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</si>
  <si>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</si>
  <si>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</si>
  <si>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</si>
  <si>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</si>
  <si>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</si>
  <si>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</si>
  <si>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</si>
  <si>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</si>
  <si>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</si>
  <si>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</si>
  <si>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</si>
  <si>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</si>
  <si>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</si>
  <si>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</si>
  <si>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</si>
  <si>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</si>
  <si>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</si>
  <si>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</si>
  <si>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</si>
  <si>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</si>
  <si>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</si>
  <si>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</si>
  <si>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</si>
  <si>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</si>
  <si>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</si>
  <si>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</si>
  <si>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</si>
  <si>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</si>
  <si>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</si>
  <si>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</si>
  <si>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</si>
  <si>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</si>
  <si>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</si>
  <si>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</si>
  <si>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</si>
  <si>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</si>
  <si>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</si>
  <si>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</si>
  <si>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</si>
  <si>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</si>
  <si>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</si>
  <si>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</si>
  <si>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</si>
  <si>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</si>
  <si>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</si>
  <si>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</si>
  <si>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</si>
  <si>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</si>
  <si>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</si>
  <si>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</si>
  <si>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</si>
  <si>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</si>
  <si>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</si>
  <si>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</si>
  <si>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</si>
  <si>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</si>
  <si>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</si>
  <si>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</si>
  <si>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</si>
  <si>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</si>
  <si>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</si>
  <si>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</si>
  <si>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</si>
  <si>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</si>
  <si>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</si>
  <si>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</si>
  <si>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</si>
  <si>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</si>
  <si>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</si>
  <si>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</si>
  <si>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</si>
  <si>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</si>
  <si>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</si>
  <si>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</si>
  <si>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</si>
  <si>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</si>
  <si>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</si>
  <si>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</si>
  <si>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</si>
  <si>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</si>
  <si>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</si>
  <si>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</si>
  <si>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</si>
  <si>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</si>
  <si>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</si>
  <si>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</si>
  <si>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</si>
  <si>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</si>
  <si>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</si>
  <si>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</si>
  <si>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</si>
  <si>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</si>
  <si>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</si>
  <si>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</si>
  <si>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</si>
  <si>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</si>
  <si>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</si>
  <si>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</si>
  <si>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</si>
  <si>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</si>
  <si>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</si>
  <si>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</si>
  <si>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</si>
  <si>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</si>
  <si>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</si>
  <si>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</si>
  <si>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</si>
  <si>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</si>
  <si>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</si>
  <si>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</si>
  <si>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</si>
  <si>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</si>
  <si>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</si>
  <si>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</si>
  <si>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</si>
  <si>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</si>
  <si>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</si>
  <si>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</si>
  <si>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</si>
  <si>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</si>
  <si>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</si>
  <si>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</si>
  <si>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</si>
  <si>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</si>
  <si>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</si>
  <si>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</si>
  <si>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</si>
  <si>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</si>
  <si>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</si>
  <si>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</si>
  <si>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</si>
  <si>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</si>
  <si>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</si>
  <si>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</si>
  <si>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</si>
  <si>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</si>
  <si>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</si>
  <si>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</si>
  <si>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</si>
  <si>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</si>
  <si>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</si>
  <si>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</si>
  <si>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</si>
  <si>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</si>
  <si>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</si>
  <si>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</si>
  <si>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</si>
  <si>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</si>
  <si>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</si>
  <si>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</si>
  <si>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</si>
  <si>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</si>
  <si>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</si>
  <si>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</si>
  <si>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</si>
  <si>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</si>
  <si>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</si>
  <si>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</si>
  <si>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</si>
  <si>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</si>
  <si>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</si>
  <si>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</si>
  <si>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</si>
  <si>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</si>
  <si>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</si>
  <si>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</si>
  <si>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</si>
  <si>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</si>
  <si>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</si>
  <si>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</si>
  <si>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</si>
  <si>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</si>
  <si>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</si>
  <si>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</si>
  <si>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</si>
  <si>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</si>
  <si>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</si>
  <si>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</si>
  <si>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</si>
  <si>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</si>
  <si>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</si>
  <si>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</si>
  <si>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</si>
  <si>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</si>
  <si>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</si>
  <si>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</si>
  <si>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</si>
  <si>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</si>
  <si>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</si>
  <si>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</si>
  <si>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</si>
  <si>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</si>
  <si>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</si>
  <si>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</si>
  <si>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</si>
  <si>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</si>
  <si>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</si>
  <si>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</si>
  <si>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</si>
  <si>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</si>
  <si>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</si>
  <si>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</si>
  <si>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</si>
  <si>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</si>
  <si>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</si>
  <si>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</si>
  <si>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</si>
  <si>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</si>
  <si>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</si>
  <si>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</si>
  <si>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</si>
  <si>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</si>
  <si>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</si>
  <si>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</si>
  <si>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</si>
  <si>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</si>
  <si>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</si>
  <si>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</si>
  <si>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</si>
  <si>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</si>
  <si>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</si>
  <si>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</si>
  <si>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</si>
  <si>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</si>
  <si>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</si>
  <si>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</si>
  <si>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</si>
  <si>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</si>
  <si>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</si>
  <si>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</si>
  <si>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</si>
  <si>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</si>
  <si>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</si>
  <si>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</si>
  <si>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</si>
  <si>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</si>
  <si>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</si>
  <si>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</si>
  <si>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</si>
  <si>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</si>
  <si>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</si>
  <si>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</si>
  <si>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</si>
  <si>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</si>
  <si>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</si>
  <si>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</si>
  <si>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</si>
  <si>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</si>
  <si>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</si>
  <si>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</si>
  <si>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</si>
  <si>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</si>
  <si>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</si>
  <si>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</si>
  <si>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</si>
  <si>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</si>
  <si>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</si>
  <si>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</si>
  <si>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</si>
  <si>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</si>
  <si>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</si>
  <si>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</si>
  <si>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</si>
  <si>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</si>
  <si>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</si>
  <si>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</si>
  <si>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</si>
  <si>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</si>
  <si>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</si>
  <si>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</si>
  <si>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</si>
  <si>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</si>
  <si>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</si>
  <si>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</si>
  <si>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</si>
  <si>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</si>
  <si>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</si>
  <si>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</si>
  <si>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</si>
  <si>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</si>
  <si>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</si>
  <si>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</si>
  <si>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</si>
  <si>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</si>
  <si>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</si>
  <si>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</si>
  <si>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</si>
  <si>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</si>
  <si>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</si>
  <si>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</si>
  <si>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</si>
  <si>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</si>
  <si>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</si>
  <si>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</si>
  <si>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</si>
  <si>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</si>
  <si>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</si>
  <si>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</si>
  <si>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</si>
  <si>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</si>
  <si>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</si>
  <si>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</si>
  <si>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</si>
  <si>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</si>
  <si>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</si>
  <si>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</si>
  <si>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</si>
  <si>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</si>
  <si>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</si>
  <si>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</si>
  <si>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</si>
  <si>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</si>
  <si>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</si>
  <si>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</si>
  <si>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</si>
  <si>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</si>
  <si>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</si>
  <si>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</si>
  <si>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</si>
  <si>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</si>
  <si>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</si>
  <si>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</si>
  <si>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</si>
  <si>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</si>
  <si>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</si>
  <si>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</si>
  <si>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</si>
  <si>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</si>
  <si>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</si>
  <si>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</si>
  <si>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</si>
  <si>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</si>
  <si>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</si>
  <si>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</si>
  <si>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</si>
  <si>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</si>
  <si>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</si>
  <si>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</si>
  <si>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</si>
  <si>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</si>
  <si>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</si>
  <si>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</si>
  <si>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</si>
  <si>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</si>
  <si>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</si>
  <si>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</si>
  <si>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</si>
  <si>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</si>
  <si>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</si>
  <si>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</si>
  <si>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</si>
  <si>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</si>
  <si>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</si>
  <si>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</si>
  <si>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</si>
  <si>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</si>
  <si>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</si>
  <si>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</si>
  <si>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</si>
  <si>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</si>
  <si>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</si>
  <si>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</si>
  <si>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</si>
  <si>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</si>
  <si>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</si>
  <si>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</si>
  <si>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</si>
  <si>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</si>
  <si>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</si>
  <si>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</si>
  <si>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</si>
  <si>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</si>
  <si>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</si>
  <si>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</si>
  <si>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</si>
  <si>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</si>
  <si>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</si>
  <si>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</si>
  <si>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</si>
  <si>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</si>
  <si>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</si>
  <si>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</si>
  <si>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</si>
  <si>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</si>
  <si>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</si>
  <si>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</si>
  <si>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</si>
  <si>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</si>
  <si>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</si>
  <si>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</si>
  <si>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</si>
  <si>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</si>
  <si>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</si>
  <si>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</si>
  <si>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</si>
  <si>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</si>
  <si>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</si>
  <si>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</si>
  <si>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</si>
  <si>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</si>
  <si>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</si>
  <si>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</si>
  <si>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</si>
  <si>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</si>
  <si>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</si>
  <si>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</si>
  <si>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</si>
  <si>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</si>
  <si>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</si>
  <si>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</si>
  <si>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</si>
  <si>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</si>
  <si>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</si>
  <si>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</si>
  <si>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</si>
  <si>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</si>
  <si>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</si>
  <si>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</si>
  <si>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</si>
  <si>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</si>
  <si>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</si>
  <si>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</si>
  <si>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</si>
  <si>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</si>
  <si>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</si>
  <si>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</si>
  <si>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</si>
  <si>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</si>
  <si>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</si>
  <si>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</si>
  <si>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</si>
  <si>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</si>
  <si>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</si>
  <si>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</si>
  <si>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</si>
  <si>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</si>
  <si>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</si>
  <si>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</si>
  <si>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</si>
  <si>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</si>
  <si>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</si>
  <si>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</si>
  <si>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</si>
  <si>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</si>
  <si>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</si>
  <si>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</si>
  <si>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</si>
  <si>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</si>
  <si>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</si>
  <si>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</si>
  <si>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</si>
  <si>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</si>
  <si>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</si>
  <si>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</si>
  <si>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</si>
  <si>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</si>
  <si>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</si>
  <si>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</si>
  <si>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</si>
  <si>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</si>
  <si>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</si>
  <si>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</si>
  <si>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</si>
  <si>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</si>
  <si>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</si>
  <si>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</si>
  <si>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</si>
  <si>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</si>
  <si>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</si>
  <si>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</si>
  <si>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</si>
  <si>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</si>
  <si>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</si>
  <si>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</si>
  <si>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</si>
  <si>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</si>
  <si>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</si>
  <si>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</si>
  <si>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</si>
  <si>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</si>
  <si>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</si>
  <si>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</si>
  <si>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</si>
  <si>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</si>
  <si>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</si>
  <si>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</si>
  <si>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</si>
  <si>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</si>
  <si>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</si>
  <si>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</si>
  <si>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</si>
  <si>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</si>
  <si>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</si>
  <si>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</si>
  <si>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</si>
  <si>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</si>
  <si>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</si>
  <si>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</si>
  <si>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</si>
  <si>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</si>
  <si>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</si>
  <si>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</si>
  <si>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</si>
  <si>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</si>
  <si>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</si>
  <si>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</si>
  <si>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</si>
  <si>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</si>
  <si>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</si>
  <si>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</si>
  <si>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</si>
  <si>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</si>
  <si>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</si>
  <si>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</si>
  <si>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</si>
  <si>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</si>
  <si>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</si>
  <si>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</si>
  <si>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</si>
  <si>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</si>
  <si>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</si>
  <si>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</si>
  <si>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</si>
  <si>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</si>
  <si>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</si>
  <si>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</si>
  <si>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</si>
  <si>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</si>
  <si>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</si>
  <si>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</si>
  <si>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</si>
  <si>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</si>
  <si>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</si>
  <si>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</si>
  <si>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</si>
  <si>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</si>
  <si>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</si>
  <si>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</si>
  <si>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</si>
  <si>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</si>
  <si>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</si>
  <si>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</si>
  <si>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</si>
  <si>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</si>
  <si>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</si>
  <si>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</si>
  <si>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</si>
  <si>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</si>
  <si>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</si>
  <si>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</si>
  <si>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</si>
  <si>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</si>
  <si>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</si>
  <si>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</si>
  <si>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</si>
  <si>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</si>
  <si>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</si>
  <si>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</si>
  <si>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</si>
  <si>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</si>
  <si>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</si>
  <si>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</si>
  <si>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</si>
  <si>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</si>
  <si>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</si>
  <si>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</si>
  <si>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</si>
  <si>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</si>
  <si>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</si>
  <si>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</si>
  <si>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</si>
  <si>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</si>
  <si>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</si>
  <si>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</si>
  <si>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</si>
  <si>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</si>
  <si>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</si>
  <si>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</si>
  <si>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</si>
  <si>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</si>
  <si>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</si>
  <si>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</si>
  <si>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</si>
  <si>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</si>
  <si>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</si>
  <si>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</si>
  <si>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</si>
  <si>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</si>
  <si>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</si>
  <si>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</si>
  <si>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</si>
  <si>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</si>
  <si>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</si>
  <si>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</si>
  <si>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</si>
  <si>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</si>
  <si>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</si>
  <si>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</si>
  <si>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</si>
  <si>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</si>
  <si>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</si>
  <si>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</si>
  <si>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</si>
  <si>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</si>
  <si>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</si>
  <si>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</si>
  <si>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</si>
  <si>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</si>
  <si>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</si>
  <si>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</si>
  <si>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</si>
  <si>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</si>
  <si>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</si>
  <si>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</si>
  <si>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</si>
  <si>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</si>
  <si>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</si>
  <si>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</si>
  <si>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</si>
  <si>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</si>
  <si>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</si>
  <si>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</si>
  <si>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</si>
  <si>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</si>
  <si>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</si>
  <si>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</si>
  <si>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</si>
  <si>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</si>
  <si>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</si>
  <si>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</si>
  <si>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</si>
  <si>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</si>
  <si>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</si>
  <si>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</si>
  <si>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</si>
  <si>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</si>
  <si>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</si>
  <si>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</si>
  <si>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</si>
  <si>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</si>
  <si>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</si>
  <si>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</si>
  <si>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</si>
  <si>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</si>
  <si>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</si>
  <si>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</si>
  <si>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</si>
  <si>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</si>
  <si>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</si>
  <si>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</si>
  <si>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</si>
  <si>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</si>
  <si>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</si>
  <si>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</si>
  <si>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</si>
  <si>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</si>
  <si>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</si>
  <si>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</si>
  <si>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</si>
  <si>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</si>
  <si>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</si>
  <si>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</si>
  <si>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</si>
  <si>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</si>
  <si>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</si>
  <si>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</si>
  <si>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</si>
  <si>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</si>
  <si>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</si>
  <si>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</si>
  <si>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</si>
  <si>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</si>
  <si>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</si>
  <si>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</si>
  <si>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</si>
  <si>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</si>
  <si>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</si>
  <si>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</si>
  <si>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</si>
  <si>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</si>
  <si>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</si>
  <si>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</si>
  <si>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</si>
  <si>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</si>
  <si>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</si>
  <si>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</si>
  <si>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</si>
  <si>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</si>
  <si>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</si>
  <si>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</si>
  <si>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</si>
  <si>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</si>
  <si>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</si>
  <si>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</si>
  <si>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</si>
  <si>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</si>
  <si>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</si>
  <si>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</si>
  <si>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</si>
  <si>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</si>
  <si>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</si>
  <si>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</si>
  <si>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</si>
  <si>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</si>
  <si>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</si>
  <si>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</si>
  <si>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</si>
  <si>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</si>
  <si>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</si>
  <si>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</si>
  <si>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</si>
  <si>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</si>
  <si>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</si>
  <si>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</si>
  <si>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</si>
  <si>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</si>
  <si>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</si>
  <si>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</si>
  <si>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</si>
  <si>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</si>
  <si>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</si>
  <si>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</si>
  <si>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</si>
  <si>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</si>
  <si>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</si>
  <si>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</si>
  <si>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</si>
  <si>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</si>
  <si>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</si>
  <si>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</si>
  <si>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</si>
  <si>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</si>
  <si>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</si>
  <si>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</si>
  <si>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</si>
  <si>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</si>
  <si>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</si>
  <si>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</si>
  <si>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</si>
  <si>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</si>
  <si>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</si>
  <si>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</si>
  <si>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</si>
  <si>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</si>
  <si>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</si>
  <si>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</si>
  <si>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</si>
  <si>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</si>
  <si>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</si>
  <si>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</si>
  <si>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</si>
  <si>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</si>
  <si>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</si>
  <si>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</si>
  <si>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</si>
  <si>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</si>
  <si>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</si>
  <si>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</si>
  <si>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</si>
  <si>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</si>
  <si>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</si>
  <si>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</si>
  <si>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</si>
  <si>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</si>
  <si>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</si>
  <si>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</si>
  <si>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</si>
  <si>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</si>
  <si>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</si>
  <si>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</si>
  <si>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</si>
  <si>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</si>
  <si>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</si>
  <si>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</si>
  <si>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</si>
  <si>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</si>
  <si>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</si>
  <si>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</si>
  <si>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</si>
  <si>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</si>
  <si>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</si>
  <si>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</si>
  <si>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</si>
  <si>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</si>
  <si>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</si>
  <si>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</si>
  <si>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</si>
  <si>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</si>
  <si>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</si>
  <si>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</si>
  <si>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</si>
  <si>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</si>
  <si>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</si>
  <si>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</si>
  <si>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</si>
  <si>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</si>
  <si>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</si>
  <si>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</si>
  <si>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</si>
  <si>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</si>
  <si>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</si>
  <si>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</si>
  <si>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</si>
  <si>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</si>
  <si>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</si>
  <si>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</si>
  <si>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</si>
  <si>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</si>
  <si>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</si>
  <si>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</si>
  <si>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</si>
  <si>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</si>
  <si>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</si>
  <si>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</si>
  <si>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</si>
  <si>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</si>
  <si>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</si>
  <si>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</si>
  <si>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</si>
  <si>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</si>
  <si>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</si>
  <si>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</si>
  <si>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</si>
  <si>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</si>
  <si>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</si>
  <si>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</si>
  <si>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</si>
  <si>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</si>
  <si>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</si>
  <si>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</si>
  <si>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</si>
  <si>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</si>
  <si>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</si>
  <si>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</si>
  <si>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</si>
  <si>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</si>
  <si>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</si>
  <si>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</si>
  <si>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</si>
  <si>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</si>
  <si>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</si>
  <si>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</si>
  <si>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</si>
  <si>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</si>
  <si>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</si>
  <si>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</si>
  <si>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</si>
  <si>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</si>
  <si>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</si>
  <si>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</si>
  <si>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</si>
  <si>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</si>
  <si>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</si>
  <si>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</si>
  <si>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</si>
  <si>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</si>
  <si>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</si>
  <si>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</si>
  <si>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</si>
  <si>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</si>
  <si>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</si>
  <si>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</si>
  <si>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</si>
  <si>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</si>
  <si>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</si>
  <si>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</si>
  <si>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</si>
  <si>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</si>
  <si>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</si>
  <si>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</si>
  <si>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</si>
  <si>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</si>
  <si>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</si>
  <si>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</si>
  <si>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</si>
  <si>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</si>
  <si>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</si>
  <si>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</si>
  <si>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</si>
  <si>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</si>
  <si>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</si>
  <si>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</si>
  <si>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</si>
  <si>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</si>
  <si>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</si>
  <si>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</si>
  <si>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</si>
  <si>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</si>
  <si>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</si>
  <si>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</si>
  <si>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</si>
  <si>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</si>
  <si>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</si>
  <si>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</si>
  <si>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</si>
  <si>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</si>
  <si>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</si>
  <si>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</si>
  <si>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</si>
  <si>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</si>
  <si>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</si>
  <si>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</si>
  <si>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</si>
  <si>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</si>
  <si>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</si>
  <si>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</si>
  <si>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</si>
  <si>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</si>
  <si>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</si>
  <si>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</si>
  <si>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</si>
  <si>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</si>
  <si>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</si>
  <si>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</si>
  <si>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</si>
  <si>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</si>
  <si>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</si>
  <si>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</si>
  <si>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</si>
  <si>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</si>
  <si>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</si>
  <si>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</si>
  <si>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</si>
  <si>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</si>
  <si>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</si>
  <si>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</si>
  <si>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</si>
  <si>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</si>
  <si>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</si>
  <si>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</si>
  <si>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</si>
  <si>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</si>
  <si>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</si>
  <si>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</si>
  <si>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</si>
  <si>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</si>
  <si>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</si>
  <si>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</si>
  <si>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</si>
  <si>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</si>
  <si>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</si>
  <si>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</si>
  <si>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</si>
  <si>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</si>
  <si>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</si>
  <si>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</si>
  <si>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</si>
  <si>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</si>
  <si>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</si>
  <si>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</si>
  <si>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</si>
  <si>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</si>
  <si>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</si>
  <si>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</si>
  <si>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</si>
  <si>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</si>
  <si>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</si>
  <si>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</si>
  <si>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</si>
  <si>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</si>
  <si>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</si>
  <si>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</si>
  <si>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</si>
  <si>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</si>
  <si>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</si>
  <si>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</si>
  <si>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</si>
  <si>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</si>
  <si>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</si>
  <si>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</si>
  <si>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</si>
  <si>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</si>
  <si>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</si>
  <si>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</si>
  <si>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</si>
  <si>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</si>
  <si>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</si>
  <si>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</si>
  <si>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</si>
  <si>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</si>
  <si>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</si>
  <si>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</si>
  <si>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</si>
  <si>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</si>
  <si>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</si>
  <si>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</si>
  <si>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</si>
  <si>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</si>
  <si>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</si>
  <si>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</si>
  <si>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</si>
  <si>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</si>
  <si>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</si>
  <si>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</si>
  <si>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</si>
  <si>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</si>
  <si>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</si>
  <si>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</si>
  <si>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</si>
  <si>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</si>
  <si>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</si>
  <si>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</si>
  <si>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</si>
  <si>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</si>
  <si>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</si>
  <si>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</si>
  <si>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</si>
  <si>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</si>
  <si>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</si>
  <si>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</si>
  <si>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</si>
  <si>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</si>
  <si>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</si>
  <si>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</si>
  <si>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</si>
  <si>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</si>
  <si>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</si>
  <si>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</si>
  <si>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</si>
  <si>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</si>
  <si>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</si>
  <si>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</si>
  <si>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</si>
  <si>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</si>
  <si>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</si>
  <si>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</si>
  <si>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</si>
  <si>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</si>
  <si>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</si>
  <si>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</si>
  <si>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</si>
  <si>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</si>
  <si>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</si>
  <si>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</si>
  <si>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</si>
  <si>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</si>
  <si>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</si>
  <si>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</si>
  <si>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</si>
  <si>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</si>
  <si>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</si>
  <si>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</si>
  <si>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</si>
  <si>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</si>
  <si>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</si>
  <si>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</si>
  <si>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</si>
  <si>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</si>
  <si>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</si>
  <si>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</si>
  <si>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</si>
  <si>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</si>
  <si>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</si>
  <si>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</si>
  <si>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</si>
  <si>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</si>
  <si>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</si>
  <si>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</si>
  <si>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</si>
  <si>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</si>
  <si>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</si>
  <si>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</si>
  <si>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</si>
  <si>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</si>
  <si>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</si>
  <si>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</si>
  <si>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</si>
  <si>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</si>
  <si>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</si>
  <si>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</si>
  <si>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</si>
  <si>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</si>
  <si>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</si>
  <si>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</si>
  <si>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</si>
  <si>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</si>
  <si>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</si>
  <si>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</si>
  <si>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</si>
  <si>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</si>
  <si>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</si>
  <si>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</si>
  <si>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</si>
  <si>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</si>
  <si>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</si>
  <si>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</si>
  <si>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</si>
  <si>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</si>
  <si>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</si>
  <si>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</si>
  <si>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</si>
  <si>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</si>
  <si>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</si>
  <si>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</si>
  <si>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</si>
  <si>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</si>
  <si>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</si>
  <si>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</si>
  <si>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</si>
  <si>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</si>
  <si>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</si>
  <si>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</si>
  <si>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</si>
  <si>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</si>
  <si>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</si>
  <si>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</si>
  <si>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</si>
  <si>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</si>
  <si>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</si>
  <si>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</si>
  <si>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</si>
  <si>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</si>
  <si>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</si>
  <si>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</si>
  <si>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</si>
  <si>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</si>
  <si>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</si>
  <si>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</si>
  <si>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</si>
  <si>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</si>
  <si>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</si>
  <si>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</si>
  <si>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</si>
  <si>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</si>
  <si>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</si>
  <si>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</si>
  <si>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</si>
  <si>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</si>
  <si>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</si>
  <si>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</si>
  <si>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</si>
  <si>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</si>
  <si>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</si>
  <si>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</si>
  <si>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</si>
  <si>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</si>
  <si>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</si>
  <si>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</si>
  <si>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</si>
  <si>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</si>
  <si>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</si>
  <si>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</si>
  <si>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</si>
  <si>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</si>
  <si>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</si>
  <si>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</si>
  <si>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</si>
  <si>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</si>
  <si>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</si>
  <si>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</si>
  <si>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</si>
  <si>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</si>
  <si>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</si>
  <si>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</si>
  <si>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</si>
  <si>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</si>
  <si>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</si>
  <si>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</si>
  <si>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</si>
  <si>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</si>
  <si>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</si>
  <si>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</si>
  <si>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</si>
  <si>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</si>
  <si>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</si>
  <si>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</si>
  <si>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</si>
  <si>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</si>
  <si>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</si>
  <si>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</si>
  <si>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</si>
  <si>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</si>
  <si>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</si>
  <si>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</si>
  <si>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</si>
  <si>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</si>
  <si>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</si>
  <si>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</si>
  <si>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</si>
  <si>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</si>
  <si>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</si>
  <si>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</si>
  <si>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</si>
  <si>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</si>
  <si>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</si>
  <si>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</si>
  <si>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</si>
  <si>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</si>
  <si>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</si>
  <si>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</si>
  <si>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</si>
  <si>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</si>
  <si>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</si>
  <si>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</si>
  <si>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</si>
  <si>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</si>
  <si>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</si>
  <si>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</si>
  <si>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</si>
  <si>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</si>
  <si>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</si>
  <si>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</si>
  <si>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</si>
  <si>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</si>
  <si>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</si>
  <si>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</si>
  <si>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</si>
  <si>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</si>
  <si>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</si>
  <si>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</si>
  <si>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</si>
  <si>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</si>
  <si>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</si>
  <si>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</si>
  <si>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</si>
  <si>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</si>
  <si>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</si>
  <si>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</si>
  <si>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</si>
  <si>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</si>
  <si>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</si>
  <si>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</si>
  <si>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</si>
  <si>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</si>
  <si>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</si>
  <si>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</si>
  <si>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</si>
  <si>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</si>
  <si>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</si>
  <si>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</si>
  <si>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</si>
  <si>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</si>
  <si>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</si>
  <si>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</si>
  <si>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</si>
  <si>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</si>
  <si>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</si>
  <si>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</si>
  <si>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</si>
  <si>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</si>
  <si>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</si>
  <si>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</si>
  <si>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</si>
  <si>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</si>
  <si>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</si>
  <si>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</si>
  <si>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</si>
  <si>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</si>
  <si>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</si>
  <si>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</si>
  <si>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</si>
  <si>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</si>
  <si>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</si>
  <si>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</si>
  <si>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</si>
  <si>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</si>
  <si>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</si>
  <si>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</si>
  <si>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</si>
  <si>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</si>
  <si>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</si>
  <si>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</si>
  <si>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</si>
  <si>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</si>
  <si>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</si>
  <si>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</si>
  <si>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</si>
  <si>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</si>
  <si>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</si>
  <si>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</si>
  <si>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</si>
  <si>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</si>
  <si>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</si>
  <si>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</si>
  <si>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</si>
  <si>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</si>
  <si>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</si>
  <si>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</si>
  <si>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</si>
  <si>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</si>
  <si>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</si>
  <si>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</si>
  <si>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</si>
  <si>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</si>
  <si>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</si>
  <si>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</si>
  <si>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</si>
  <si>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</si>
  <si>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</si>
  <si>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</si>
  <si>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</si>
  <si>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</si>
  <si>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</si>
  <si>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</si>
  <si>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</si>
  <si>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</si>
  <si>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</si>
  <si>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</si>
  <si>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</si>
  <si>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</si>
  <si>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</si>
  <si>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</si>
  <si>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</si>
  <si>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</si>
  <si>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</si>
  <si>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</si>
  <si>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</si>
  <si>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</si>
  <si>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</si>
  <si>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</si>
  <si>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</si>
  <si>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</si>
  <si>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</si>
  <si>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</si>
  <si>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</si>
  <si>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</si>
  <si>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</si>
  <si>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</si>
  <si>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</si>
  <si>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</si>
  <si>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</si>
  <si>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</si>
  <si>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</si>
  <si>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</si>
  <si>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</si>
  <si>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</si>
  <si>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</si>
  <si>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</si>
  <si>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</si>
  <si>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</si>
  <si>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</si>
  <si>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</si>
  <si>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</si>
  <si>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</si>
  <si>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</si>
  <si>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</si>
  <si>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</si>
  <si>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</si>
  <si>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</si>
  <si>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</si>
  <si>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</si>
  <si>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</si>
  <si>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</si>
  <si>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</si>
  <si>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</si>
  <si>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</si>
  <si>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</si>
  <si>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</si>
  <si>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</si>
  <si>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</si>
  <si>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</si>
  <si>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</si>
  <si>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</si>
  <si>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</si>
  <si>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</si>
  <si>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</si>
  <si>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</si>
  <si>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</si>
  <si>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</si>
  <si>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</si>
  <si>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</si>
  <si>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</si>
  <si>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</si>
  <si>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</si>
  <si>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</si>
  <si>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</si>
  <si>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</si>
  <si>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</si>
  <si>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</si>
  <si>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</si>
  <si>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</si>
  <si>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</si>
  <si>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</si>
  <si>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</si>
  <si>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</si>
  <si>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</si>
  <si>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</si>
  <si>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</si>
  <si>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</si>
  <si>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</si>
  <si>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</si>
  <si>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</si>
  <si>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</si>
  <si>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</si>
  <si>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</si>
  <si>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</si>
  <si>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</si>
  <si>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</si>
  <si>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</si>
  <si>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</si>
  <si>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</si>
  <si>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</si>
  <si>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</si>
  <si>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</si>
  <si>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</si>
  <si>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</si>
  <si>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</si>
  <si>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</si>
  <si>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</si>
  <si>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</si>
  <si>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</si>
  <si>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</si>
  <si>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</si>
  <si>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</si>
  <si>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</si>
  <si>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</si>
  <si>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</si>
  <si>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</si>
  <si>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</si>
  <si>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</si>
  <si>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</si>
  <si>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</si>
  <si>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</si>
  <si>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</si>
  <si>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</si>
  <si>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</si>
  <si>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</si>
  <si>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</si>
  <si>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</si>
  <si>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</si>
  <si>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</si>
  <si>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</si>
  <si>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</si>
  <si>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</si>
  <si>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</si>
  <si>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</si>
  <si>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</si>
  <si>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</si>
  <si>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</si>
  <si>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</si>
  <si>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</si>
  <si>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</si>
  <si>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</si>
  <si>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</si>
  <si>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</si>
  <si>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</si>
  <si>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</si>
  <si>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</si>
  <si>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</si>
  <si>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</si>
  <si>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</si>
  <si>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</si>
  <si>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</si>
  <si>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</si>
  <si>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</si>
  <si>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</si>
  <si>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</si>
  <si>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</si>
  <si>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</si>
  <si>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</si>
  <si>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</si>
  <si>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</si>
  <si>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</si>
  <si>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</si>
  <si>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</si>
  <si>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</si>
  <si>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</si>
  <si>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</si>
  <si>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</si>
  <si>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</si>
  <si>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</si>
  <si>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</si>
  <si>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</si>
  <si>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</si>
  <si>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</si>
  <si>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</si>
  <si>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</si>
  <si>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</si>
  <si>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</si>
  <si>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</si>
  <si>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</si>
  <si>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</si>
  <si>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</si>
  <si>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</si>
  <si>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</si>
  <si>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</si>
  <si>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</si>
  <si>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</si>
  <si>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</si>
  <si>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</si>
  <si>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</si>
  <si>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</si>
  <si>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</si>
  <si>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</si>
  <si>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</si>
  <si>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</si>
  <si>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</si>
  <si>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</si>
  <si>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</si>
  <si>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</si>
  <si>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</si>
  <si>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</si>
  <si>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</si>
  <si>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</si>
  <si>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</si>
  <si>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</si>
  <si>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</si>
  <si>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</si>
  <si>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</si>
  <si>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</si>
  <si>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</si>
  <si>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</si>
  <si>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</si>
  <si>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</si>
  <si>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</si>
  <si>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</si>
  <si>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</si>
  <si>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</si>
  <si>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</si>
  <si>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</si>
  <si>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</si>
  <si>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</si>
  <si>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</si>
  <si>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</si>
  <si>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</si>
  <si>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</si>
  <si>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</si>
  <si>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</si>
  <si>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</si>
  <si>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</si>
  <si>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</si>
  <si>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</si>
  <si>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</si>
  <si>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</si>
  <si>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</si>
  <si>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</si>
  <si>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</si>
  <si>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</si>
  <si>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</si>
  <si>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</si>
  <si>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</si>
  <si>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</si>
  <si>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</si>
  <si>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</si>
  <si>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</si>
  <si>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</si>
  <si>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</si>
  <si>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</si>
  <si>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</si>
  <si>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</si>
  <si>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</si>
  <si>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</si>
  <si>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</si>
  <si>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</si>
  <si>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</si>
  <si>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</si>
  <si>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</si>
  <si>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</si>
  <si>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</si>
  <si>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</si>
  <si>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</si>
  <si>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</si>
  <si>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</si>
  <si>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</si>
  <si>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</si>
  <si>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</si>
  <si>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</si>
  <si>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</si>
  <si>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</si>
  <si>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</si>
  <si>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</si>
  <si>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</si>
  <si>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</si>
  <si>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</si>
  <si>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</si>
  <si>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</si>
  <si>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</si>
  <si>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</si>
  <si>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</si>
  <si>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</si>
  <si>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</si>
  <si>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</si>
  <si>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</si>
  <si>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</si>
  <si>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</si>
  <si>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</si>
  <si>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</si>
  <si>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</si>
  <si>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</si>
  <si>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</si>
  <si>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</si>
  <si>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</si>
  <si>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</si>
  <si>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</si>
  <si>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</si>
  <si>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</si>
  <si>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</si>
  <si>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</si>
  <si>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</si>
  <si>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</si>
  <si>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</si>
  <si>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</si>
  <si>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</si>
  <si>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</si>
  <si>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</si>
  <si>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</si>
  <si>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</si>
  <si>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</si>
  <si>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</si>
  <si>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</si>
  <si>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</si>
  <si>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</si>
  <si>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</si>
  <si>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</si>
  <si>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</si>
  <si>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</si>
  <si>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</si>
  <si>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</si>
  <si>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</si>
  <si>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</si>
  <si>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</si>
  <si>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</si>
  <si>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</si>
  <si>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</si>
  <si>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</si>
  <si>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</si>
  <si>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</si>
  <si>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</si>
  <si>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</si>
  <si>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</si>
  <si>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</si>
  <si>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</si>
  <si>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</si>
  <si>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</si>
  <si>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</si>
  <si>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</si>
  <si>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</si>
  <si>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</si>
  <si>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</si>
  <si>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</si>
  <si>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</si>
  <si>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</si>
  <si>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</si>
  <si>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</si>
  <si>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</si>
  <si>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</si>
  <si>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</si>
  <si>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</si>
  <si>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</si>
  <si>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</si>
  <si>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</si>
  <si>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</si>
  <si>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</si>
  <si>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</si>
  <si>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</si>
  <si>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</si>
  <si>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</si>
  <si>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</si>
  <si>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</si>
  <si>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</si>
  <si>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</si>
  <si>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</si>
  <si>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</si>
  <si>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</si>
  <si>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</si>
  <si>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</si>
  <si>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</si>
  <si>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</si>
  <si>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</si>
  <si>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</si>
  <si>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</si>
  <si>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</si>
  <si>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</si>
  <si>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</si>
  <si>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</si>
  <si>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</si>
  <si>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</si>
  <si>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</si>
  <si>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</si>
  <si>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</si>
  <si>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</si>
  <si>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</si>
  <si>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</si>
  <si>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</si>
  <si>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</si>
  <si>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</si>
  <si>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</si>
  <si>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</si>
  <si>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</si>
  <si>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</si>
  <si>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</si>
  <si>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</si>
  <si>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</si>
  <si>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</si>
  <si>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</si>
  <si>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</si>
  <si>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</si>
  <si>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</si>
  <si>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</si>
  <si>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</si>
  <si>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</si>
  <si>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</si>
  <si>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</si>
  <si>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</si>
  <si>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</si>
  <si>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</si>
  <si>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</si>
  <si>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</si>
  <si>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</si>
  <si>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</si>
  <si>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</si>
  <si>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</si>
  <si>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</si>
  <si>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</si>
  <si>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</si>
  <si>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</si>
  <si>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</si>
  <si>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</si>
  <si>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</si>
  <si>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</si>
  <si>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</si>
  <si>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</si>
  <si>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</si>
  <si>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</si>
  <si>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</si>
  <si>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</si>
  <si>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</si>
  <si>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</si>
  <si>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</si>
  <si>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</si>
  <si>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</si>
  <si>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</si>
  <si>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</si>
  <si>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</si>
  <si>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</si>
  <si>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</si>
  <si>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</si>
  <si>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</si>
  <si>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</si>
  <si>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</si>
  <si>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</si>
  <si>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</si>
  <si>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</si>
  <si>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</si>
  <si>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</si>
  <si>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</si>
  <si>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</si>
  <si>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</si>
  <si>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</si>
  <si>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</si>
  <si>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</si>
  <si>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</si>
  <si>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</si>
  <si>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</si>
  <si>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</si>
  <si>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</si>
  <si>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</si>
  <si>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</si>
  <si>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</si>
  <si>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</si>
  <si>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</si>
  <si>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</si>
  <si>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</si>
  <si>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</si>
  <si>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</si>
  <si>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</si>
  <si>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</si>
  <si>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</si>
  <si>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</si>
  <si>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</si>
  <si>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</si>
  <si>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</si>
  <si>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</si>
  <si>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</si>
  <si>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</si>
  <si>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</si>
  <si>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</si>
  <si>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</si>
  <si>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</si>
  <si>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</si>
  <si>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</si>
  <si>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</si>
  <si>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</si>
  <si>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</si>
  <si>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</si>
  <si>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</si>
  <si>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</si>
  <si>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</si>
  <si>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</si>
  <si>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</si>
  <si>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</si>
  <si>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</si>
  <si>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</si>
  <si>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</si>
  <si>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</si>
  <si>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</si>
  <si>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</si>
  <si>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</si>
  <si>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</si>
  <si>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</si>
  <si>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</si>
  <si>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</si>
  <si>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</si>
  <si>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</si>
  <si>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</si>
  <si>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</si>
  <si>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</si>
  <si>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</si>
  <si>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</si>
  <si>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</si>
  <si>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</si>
  <si>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</si>
  <si>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</si>
  <si>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</si>
  <si>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</si>
  <si>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</si>
  <si>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</si>
  <si>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</si>
  <si>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</si>
  <si>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</si>
  <si>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</si>
  <si>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</si>
  <si>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</si>
  <si>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</si>
  <si>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</si>
  <si>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</si>
  <si>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</si>
  <si>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</si>
  <si>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</si>
  <si>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</si>
  <si>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</si>
  <si>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</si>
  <si>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</si>
  <si>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</si>
  <si>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</si>
  <si>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</si>
  <si>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</si>
  <si>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</si>
  <si>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</si>
  <si>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</si>
  <si>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</si>
  <si>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</si>
  <si>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</si>
  <si>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</si>
  <si>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</si>
  <si>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</si>
  <si>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</si>
  <si>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</si>
  <si>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</si>
  <si>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</si>
  <si>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</si>
  <si>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</si>
  <si>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</si>
  <si>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</si>
  <si>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</si>
  <si>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</si>
  <si>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</si>
  <si>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</si>
  <si>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</si>
  <si>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</si>
  <si>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</si>
  <si>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</si>
  <si>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</si>
  <si>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</si>
  <si>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</si>
  <si>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</si>
  <si>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</si>
  <si>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</si>
  <si>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</si>
  <si>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</si>
  <si>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</si>
  <si>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</si>
  <si>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</si>
  <si>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</si>
  <si>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</si>
  <si>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</si>
  <si>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</si>
  <si>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</si>
  <si>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</si>
  <si>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</si>
  <si>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</si>
  <si>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</si>
  <si>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</si>
  <si>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</si>
  <si>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</si>
  <si>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</si>
  <si>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</si>
  <si>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</si>
  <si>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</si>
  <si>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</si>
  <si>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</si>
  <si>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</si>
  <si>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</si>
  <si>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</si>
  <si>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</si>
  <si>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</si>
  <si>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</si>
  <si>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</si>
  <si>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</si>
  <si>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</si>
  <si>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</si>
  <si>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</si>
  <si>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</si>
  <si>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</si>
  <si>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</si>
  <si>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</si>
  <si>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</si>
  <si>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</si>
  <si>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</si>
  <si>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</si>
  <si>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</si>
  <si>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</si>
  <si>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</si>
  <si>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</si>
  <si>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</si>
  <si>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</si>
  <si>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</si>
  <si>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</si>
  <si>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</si>
  <si>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</si>
  <si>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</si>
  <si>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</si>
  <si>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</si>
  <si>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</si>
  <si>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</si>
  <si>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</si>
  <si>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</si>
  <si>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</si>
  <si>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</si>
  <si>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</si>
  <si>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</si>
  <si>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</si>
  <si>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</si>
  <si>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</si>
  <si>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</si>
  <si>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</si>
  <si>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</si>
  <si>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</si>
  <si>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</si>
  <si>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</si>
  <si>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</si>
  <si>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</si>
  <si>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</si>
  <si>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</si>
  <si>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</si>
  <si>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</si>
  <si>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</si>
  <si>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</si>
  <si>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</si>
  <si>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</si>
  <si>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</si>
  <si>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</si>
  <si>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</si>
  <si>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</si>
  <si>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</si>
  <si>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</si>
  <si>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</si>
  <si>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</si>
  <si>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</si>
  <si>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</si>
  <si>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</si>
  <si>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</si>
  <si>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</si>
  <si>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</si>
  <si>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</si>
  <si>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</si>
  <si>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</si>
  <si>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</si>
  <si>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</si>
  <si>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</si>
  <si>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</si>
  <si>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</si>
  <si>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</si>
  <si>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</si>
  <si>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</si>
  <si>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</si>
  <si>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</si>
  <si>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</si>
  <si>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</si>
  <si>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</si>
  <si>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</si>
  <si>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</si>
  <si>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</si>
  <si>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</si>
  <si>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</si>
  <si>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</si>
  <si>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</si>
  <si>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</si>
  <si>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</si>
  <si>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</si>
  <si>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</si>
  <si>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</si>
  <si>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</si>
  <si>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</si>
  <si>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</si>
  <si>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</si>
  <si>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</si>
  <si>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</si>
  <si>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</si>
  <si>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</si>
  <si>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</si>
  <si>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</si>
  <si>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</si>
  <si>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</si>
  <si>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</si>
  <si>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</si>
  <si>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</si>
  <si>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</si>
  <si>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</si>
  <si>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</si>
  <si>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</si>
  <si>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</si>
  <si>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</si>
  <si>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</si>
  <si>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</si>
  <si>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</si>
  <si>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</si>
  <si>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</si>
  <si>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</si>
  <si>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</si>
  <si>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</si>
  <si>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</si>
  <si>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</si>
  <si>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</si>
  <si>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</si>
  <si>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</si>
  <si>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</si>
  <si>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</si>
  <si>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</si>
  <si>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</si>
  <si>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</si>
  <si>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</si>
  <si>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</si>
  <si>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</si>
  <si>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</si>
  <si>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</si>
  <si>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</si>
  <si>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</si>
  <si>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</si>
  <si>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</si>
  <si>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</si>
  <si>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</si>
  <si>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</si>
  <si>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</si>
  <si>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</si>
  <si>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</si>
  <si>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</si>
  <si>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</si>
  <si>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</si>
  <si>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</si>
  <si>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</si>
  <si>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</si>
  <si>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</si>
  <si>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</si>
  <si>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</si>
  <si>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</si>
  <si>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</si>
  <si>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</si>
  <si>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</si>
  <si>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</si>
  <si>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</si>
  <si>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</si>
  <si>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</si>
  <si>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</si>
  <si>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</si>
  <si>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</si>
  <si>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</si>
  <si>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</si>
  <si>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</si>
  <si>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</si>
  <si>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</si>
  <si>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</si>
  <si>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</si>
  <si>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</si>
  <si>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</si>
  <si>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</si>
  <si>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</si>
  <si>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</si>
  <si>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</si>
  <si>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</si>
  <si>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</si>
  <si>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</si>
  <si>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</si>
  <si>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</si>
  <si>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</si>
  <si>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</si>
  <si>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</si>
  <si>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</si>
  <si>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</si>
  <si>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</si>
  <si>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</si>
  <si>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</si>
  <si>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</si>
  <si>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</si>
  <si>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</si>
  <si>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</si>
  <si>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</si>
  <si>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</si>
  <si>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</si>
  <si>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</si>
  <si>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</si>
  <si>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</si>
  <si>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</si>
  <si>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</si>
  <si>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</si>
  <si>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</si>
  <si>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</si>
  <si>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</si>
  <si>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</si>
  <si>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</si>
  <si>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</si>
  <si>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</si>
  <si>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</si>
  <si>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</si>
  <si>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</si>
  <si>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</si>
  <si>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</si>
  <si>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</si>
  <si>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</si>
  <si>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</si>
  <si>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</si>
  <si>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</si>
  <si>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</si>
  <si>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</si>
  <si>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</si>
  <si>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</si>
  <si>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</si>
  <si>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</si>
  <si>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</si>
  <si>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</si>
  <si>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</si>
  <si>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</si>
  <si>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</si>
  <si>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</si>
  <si>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</si>
  <si>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</si>
  <si>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</si>
  <si>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</si>
  <si>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</si>
  <si>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</si>
  <si>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</si>
  <si>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</si>
  <si>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</si>
  <si>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</si>
  <si>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</si>
  <si>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</si>
  <si>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</si>
  <si>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</si>
  <si>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</si>
  <si>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</si>
  <si>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</si>
  <si>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</si>
  <si>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</si>
  <si>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</si>
  <si>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</si>
  <si>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</si>
  <si>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</si>
  <si>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</si>
  <si>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</si>
  <si>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</si>
  <si>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</si>
  <si>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</si>
  <si>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</si>
  <si>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</si>
  <si>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</si>
  <si>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</si>
  <si>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</si>
  <si>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</si>
  <si>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</si>
  <si>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</si>
  <si>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</si>
  <si>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</si>
  <si>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</si>
  <si>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</si>
  <si>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</si>
  <si>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</si>
  <si>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</si>
  <si>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</si>
  <si>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</si>
  <si>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</si>
  <si>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</si>
  <si>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</si>
  <si>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</si>
  <si>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</si>
  <si>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</si>
  <si>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</si>
  <si>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</si>
  <si>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</si>
  <si>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</si>
  <si>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</si>
  <si>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</si>
  <si>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</si>
  <si>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</si>
  <si>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</si>
  <si>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</si>
  <si>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</si>
  <si>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</si>
  <si>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</si>
  <si>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</si>
  <si>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</si>
  <si>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</si>
  <si>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</si>
  <si>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</si>
  <si>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</si>
  <si>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</si>
  <si>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</si>
  <si>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</si>
  <si>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</si>
  <si>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</si>
  <si>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</si>
  <si>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</si>
  <si>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</si>
  <si>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</si>
  <si>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</si>
  <si>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</si>
  <si>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</si>
  <si>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</si>
  <si>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</si>
  <si>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</si>
  <si>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</si>
  <si>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</si>
  <si>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</si>
  <si>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</si>
  <si>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</si>
  <si>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</si>
  <si>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</si>
  <si>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</si>
  <si>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</si>
  <si>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</si>
  <si>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</si>
  <si>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</si>
  <si>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</si>
  <si>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</si>
  <si>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</si>
  <si>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</si>
  <si>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</si>
  <si>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</si>
  <si>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</si>
  <si>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</si>
  <si>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</si>
  <si>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</si>
  <si>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</si>
  <si>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</si>
  <si>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</si>
  <si>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</si>
  <si>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</si>
  <si>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</si>
  <si>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</si>
  <si>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</si>
  <si>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</si>
  <si>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</si>
  <si>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</si>
  <si>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</si>
  <si>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</si>
  <si>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</si>
  <si>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</si>
  <si>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</si>
  <si>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</si>
  <si>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</si>
  <si>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</si>
  <si>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</si>
  <si>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</si>
  <si>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</si>
  <si>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</si>
  <si>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</si>
  <si>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</si>
  <si>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</si>
  <si>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</si>
  <si>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</si>
  <si>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</si>
  <si>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</si>
  <si>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</si>
  <si>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</si>
  <si>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</si>
  <si>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</si>
  <si>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</si>
  <si>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</si>
  <si>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</si>
  <si>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</si>
  <si>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</si>
  <si>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</si>
  <si>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</si>
  <si>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</si>
  <si>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</si>
  <si>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</si>
  <si>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</si>
  <si>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</si>
  <si>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</si>
  <si>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</si>
  <si>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</si>
  <si>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</si>
  <si>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</si>
  <si>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</si>
  <si>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</si>
  <si>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</si>
  <si>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</si>
  <si>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</si>
  <si>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</si>
  <si>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</si>
  <si>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</si>
  <si>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</si>
  <si>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</si>
  <si>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</si>
  <si>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</si>
  <si>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</si>
  <si>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</si>
  <si>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</si>
  <si>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</si>
  <si>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</si>
  <si>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</si>
  <si>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</si>
  <si>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</si>
  <si>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</si>
  <si>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</si>
  <si>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</si>
  <si>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</si>
  <si>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</si>
  <si>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</si>
  <si>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</si>
  <si>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</si>
  <si>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</si>
  <si>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</si>
  <si>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</si>
  <si>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</si>
  <si>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</si>
  <si>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</si>
  <si>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</si>
  <si>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</si>
  <si>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</si>
  <si>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</si>
  <si>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</si>
  <si>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</si>
  <si>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</si>
  <si>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</si>
  <si>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</si>
  <si>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</si>
  <si>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</si>
  <si>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</si>
  <si>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</si>
  <si>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</si>
  <si>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</si>
  <si>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</si>
  <si>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</si>
  <si>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</si>
  <si>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</si>
  <si>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</si>
  <si>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</si>
  <si>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</si>
  <si>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</si>
  <si>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</si>
  <si>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</si>
  <si>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</si>
  <si>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</si>
  <si>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</si>
  <si>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</si>
  <si>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</si>
  <si>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</si>
  <si>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</si>
  <si>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</si>
  <si>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</si>
  <si>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</si>
  <si>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</si>
  <si>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</si>
  <si>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</si>
  <si>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</si>
  <si>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</si>
  <si>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</si>
  <si>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</si>
  <si>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</si>
  <si>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</si>
  <si>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</si>
  <si>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</si>
  <si>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</si>
  <si>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</si>
  <si>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</si>
  <si>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</si>
  <si>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</si>
  <si>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</si>
  <si>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</si>
  <si>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</si>
  <si>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</si>
  <si>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</si>
  <si>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</si>
  <si>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</si>
  <si>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</si>
  <si>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</si>
  <si>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</si>
  <si>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</si>
  <si>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</si>
  <si>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</si>
  <si>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</si>
  <si>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</si>
  <si>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</si>
  <si>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</si>
  <si>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</si>
  <si>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</si>
  <si>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</si>
  <si>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</si>
  <si>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</si>
  <si>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</si>
  <si>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</si>
  <si>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</si>
  <si>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</si>
  <si>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</si>
  <si>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</si>
  <si>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</si>
  <si>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</si>
  <si>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</si>
  <si>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</si>
  <si>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</si>
  <si>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</si>
  <si>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</si>
  <si>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</si>
  <si>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</si>
  <si>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</si>
  <si>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</si>
  <si>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</si>
  <si>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</si>
  <si>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</si>
  <si>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</si>
  <si>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</si>
  <si>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</si>
  <si>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</si>
  <si>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</si>
  <si>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</si>
  <si>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</si>
  <si>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</si>
  <si>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</si>
  <si>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</si>
  <si>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</si>
  <si>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</si>
  <si>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</si>
  <si>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</si>
  <si>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</si>
  <si>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</si>
  <si>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</si>
  <si>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</si>
  <si>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</si>
  <si>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</si>
  <si>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</si>
  <si>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</si>
  <si>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</si>
  <si>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</si>
  <si>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</si>
  <si>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</si>
  <si>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</si>
  <si>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</si>
  <si>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</si>
  <si>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</si>
  <si>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</si>
  <si>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</si>
  <si>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</si>
  <si>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</si>
  <si>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</si>
  <si>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</si>
  <si>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</si>
  <si>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</si>
  <si>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</si>
  <si>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</si>
  <si>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</si>
  <si>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</si>
  <si>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</si>
  <si>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</si>
  <si>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</si>
  <si>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</si>
  <si>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</si>
  <si>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</si>
  <si>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</si>
  <si>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</si>
  <si>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</si>
  <si>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</si>
  <si>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</si>
  <si>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</si>
  <si>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</si>
  <si>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</si>
  <si>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</si>
  <si>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</si>
  <si>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</si>
  <si>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</si>
  <si>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</si>
  <si>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</si>
  <si>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</si>
  <si>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</si>
  <si>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</si>
  <si>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</si>
  <si>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</si>
  <si>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</si>
  <si>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</si>
  <si>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</si>
  <si>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</si>
  <si>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</si>
  <si>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</si>
  <si>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</si>
  <si>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</si>
  <si>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</si>
  <si>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</si>
  <si>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</si>
  <si>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</si>
  <si>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</si>
  <si>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</si>
  <si>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</si>
  <si>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</si>
  <si>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</si>
  <si>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</si>
  <si>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</si>
  <si>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</si>
  <si>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</si>
  <si>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</si>
  <si>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</si>
  <si>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</si>
  <si>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</si>
  <si>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</si>
  <si>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</si>
  <si>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</si>
  <si>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</si>
  <si>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</si>
  <si>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</si>
  <si>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</si>
  <si>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</si>
  <si>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</si>
  <si>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</si>
  <si>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</si>
  <si>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</si>
  <si>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</si>
  <si>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</si>
  <si>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</si>
  <si>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</si>
  <si>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</si>
  <si>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</si>
  <si>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</si>
  <si>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</si>
  <si>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</si>
  <si>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</si>
  <si>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</si>
  <si>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</si>
  <si>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</si>
  <si>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</si>
  <si>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</si>
  <si>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</si>
  <si>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</si>
  <si>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</si>
  <si>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</si>
  <si>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</si>
  <si>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</si>
  <si>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</si>
  <si>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</si>
  <si>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</si>
  <si>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</si>
  <si>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</si>
  <si>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</si>
  <si>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</si>
  <si>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</si>
  <si>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</si>
  <si>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</si>
  <si>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</si>
  <si>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</si>
  <si>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</si>
  <si>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</si>
  <si>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</si>
  <si>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</si>
  <si>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</si>
  <si>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</si>
  <si>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</si>
  <si>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</si>
  <si>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</si>
  <si>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</si>
  <si>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</si>
  <si>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</si>
  <si>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</si>
  <si>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</si>
  <si>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</si>
  <si>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</si>
  <si>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</si>
  <si>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</si>
  <si>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</si>
  <si>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</si>
  <si>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</si>
  <si>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</si>
  <si>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</si>
  <si>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</si>
  <si>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</si>
  <si>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</si>
  <si>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</si>
  <si>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</si>
  <si>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</si>
  <si>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</si>
  <si>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</si>
  <si>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</si>
  <si>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</si>
  <si>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</si>
  <si>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</si>
  <si>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</si>
  <si>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</si>
  <si>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</si>
  <si>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</si>
  <si>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</si>
  <si>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</si>
  <si>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</si>
  <si>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</si>
  <si>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</si>
  <si>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</si>
  <si>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</si>
  <si>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</si>
  <si>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</si>
  <si>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</si>
  <si>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</si>
  <si>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</si>
  <si>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</si>
  <si>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</si>
  <si>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</si>
  <si>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</si>
  <si>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</si>
  <si>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</si>
  <si>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</si>
  <si>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</si>
  <si>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</si>
  <si>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</si>
  <si>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</si>
  <si>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</si>
  <si>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</si>
  <si>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</si>
  <si>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</si>
  <si>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</si>
  <si>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</si>
  <si>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</si>
  <si>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</si>
  <si>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</si>
  <si>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</si>
  <si>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</si>
  <si>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</si>
  <si>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</si>
  <si>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</si>
  <si>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</si>
  <si>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</si>
  <si>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</si>
  <si>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</si>
  <si>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</si>
  <si>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</si>
  <si>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</si>
  <si>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</si>
  <si>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</si>
  <si>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</si>
  <si>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</si>
  <si>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</si>
  <si>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</si>
  <si>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</si>
  <si>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</si>
  <si>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</si>
  <si>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</si>
  <si>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</si>
  <si>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</si>
  <si>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</si>
  <si>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</si>
  <si>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</si>
  <si>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</si>
  <si>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</si>
  <si>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</si>
  <si>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</si>
  <si>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</si>
  <si>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</si>
  <si>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</si>
  <si>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</si>
  <si>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</si>
  <si>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</si>
  <si>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</si>
  <si>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</si>
  <si>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</si>
  <si>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</si>
  <si>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</si>
  <si>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</si>
  <si>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</si>
  <si>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</si>
  <si>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</si>
  <si>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</si>
  <si>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</si>
  <si>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</si>
  <si>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</si>
  <si>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</si>
  <si>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</si>
  <si>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</si>
  <si>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</si>
  <si>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</si>
  <si>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</si>
  <si>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</si>
  <si>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</si>
  <si>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</si>
  <si>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</si>
  <si>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</si>
  <si>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</si>
  <si>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</si>
  <si>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</si>
  <si>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</si>
  <si>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</si>
  <si>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</si>
  <si>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</si>
  <si>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</si>
  <si>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</si>
  <si>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</si>
  <si>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</si>
  <si>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</si>
  <si>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</si>
  <si>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</si>
  <si>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</si>
  <si>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</si>
  <si>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</si>
  <si>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</si>
  <si>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</si>
  <si>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</si>
  <si>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</si>
  <si>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</si>
  <si>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</si>
  <si>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</si>
  <si>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</si>
  <si>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</si>
  <si>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</si>
  <si>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</si>
  <si>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</si>
  <si>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</si>
  <si>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</si>
  <si>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</si>
  <si>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</si>
  <si>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</si>
  <si>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</si>
  <si>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</si>
  <si>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</si>
  <si>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</si>
  <si>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</si>
  <si>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</si>
  <si>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</si>
  <si>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</si>
  <si>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</si>
  <si>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</si>
  <si>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</si>
  <si>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</si>
  <si>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</si>
  <si>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</si>
  <si>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</si>
  <si>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</si>
  <si>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</si>
  <si>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</si>
  <si>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</si>
  <si>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</si>
  <si>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</si>
  <si>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</si>
  <si>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</si>
  <si>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</si>
  <si>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</si>
  <si>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</si>
  <si>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</si>
  <si>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</si>
  <si>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</si>
  <si>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</si>
  <si>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</si>
  <si>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</si>
  <si>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</si>
  <si>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</si>
  <si>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</si>
  <si>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</si>
  <si>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</si>
  <si>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</si>
  <si>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</si>
  <si>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</si>
  <si>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</si>
  <si>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</si>
  <si>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</si>
  <si>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</si>
  <si>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</si>
  <si>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</si>
  <si>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</si>
  <si>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</si>
  <si>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</si>
  <si>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</si>
  <si>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</si>
  <si>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</si>
  <si>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</si>
  <si>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</si>
  <si>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</si>
  <si>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</si>
  <si>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</si>
  <si>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</si>
  <si>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</si>
  <si>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</si>
  <si>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</si>
  <si>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</si>
  <si>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</si>
  <si>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</si>
  <si>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</si>
  <si>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</si>
  <si>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</si>
  <si>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</si>
  <si>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</si>
  <si>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</si>
  <si>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</si>
  <si>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</si>
  <si>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</si>
  <si>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</si>
  <si>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</si>
  <si>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</si>
  <si>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</si>
  <si>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</si>
  <si>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</si>
  <si>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</si>
  <si>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</si>
  <si>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</si>
  <si>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</si>
  <si>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</si>
  <si>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</si>
  <si>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</si>
  <si>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</si>
  <si>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</si>
  <si>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</si>
  <si>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</si>
  <si>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</si>
  <si>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</si>
  <si>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</si>
  <si>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</si>
  <si>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</si>
  <si>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</si>
  <si>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</si>
  <si>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</si>
  <si>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</si>
  <si>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</si>
  <si>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</si>
  <si>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</si>
  <si>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</si>
  <si>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</si>
  <si>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</si>
  <si>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</si>
  <si>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</si>
  <si>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</si>
  <si>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</si>
  <si>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</si>
  <si>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</si>
  <si>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</si>
  <si>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</si>
  <si>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</si>
  <si>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</si>
  <si>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</si>
  <si>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</si>
  <si>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</si>
  <si>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</si>
  <si>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</si>
  <si>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</si>
  <si>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</si>
  <si>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</si>
  <si>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</si>
  <si>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</si>
  <si>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</si>
  <si>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</si>
  <si>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</si>
  <si>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</si>
  <si>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</si>
  <si>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</si>
  <si>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</si>
  <si>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</si>
  <si>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</si>
  <si>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</si>
  <si>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</si>
  <si>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</si>
  <si>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</si>
  <si>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</si>
  <si>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</si>
  <si>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</si>
  <si>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</si>
  <si>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</si>
  <si>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</si>
  <si>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</si>
  <si>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</si>
  <si>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</si>
  <si>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</si>
  <si>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</si>
  <si>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</si>
  <si>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</si>
  <si>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</si>
  <si>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</si>
  <si>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</si>
  <si>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</si>
  <si>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</si>
  <si>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</si>
  <si>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</si>
  <si>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</si>
  <si>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</si>
  <si>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</si>
  <si>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</si>
  <si>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</si>
  <si>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</si>
  <si>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</si>
  <si>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</si>
  <si>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</si>
  <si>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</si>
  <si>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</si>
  <si>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</si>
  <si>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</si>
  <si>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</si>
  <si>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</si>
  <si>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</si>
  <si>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</si>
  <si>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</si>
  <si>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</si>
  <si>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</si>
  <si>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</si>
  <si>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</si>
  <si>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</si>
  <si>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</si>
  <si>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</si>
  <si>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</si>
  <si>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</si>
  <si>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</si>
  <si>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</si>
  <si>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</si>
  <si>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</si>
  <si>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</si>
  <si>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</si>
  <si>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</si>
  <si>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</si>
  <si>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</si>
  <si>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</si>
  <si>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</si>
  <si>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</si>
  <si>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</si>
  <si>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</si>
  <si>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</si>
  <si>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</si>
  <si>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</si>
  <si>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</si>
  <si>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</si>
  <si>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</si>
  <si>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</si>
  <si>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</si>
  <si>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</si>
  <si>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</si>
  <si>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</si>
  <si>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</si>
  <si>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</si>
  <si>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</si>
  <si>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</si>
  <si>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</si>
  <si>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</si>
  <si>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</si>
  <si>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</si>
  <si>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</si>
  <si>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</si>
  <si>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</si>
  <si>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</si>
  <si>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</si>
  <si>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</si>
  <si>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</si>
  <si>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</si>
  <si>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</si>
  <si>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</si>
  <si>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</si>
  <si>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</si>
  <si>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</si>
  <si>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</si>
  <si>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</si>
  <si>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</si>
  <si>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</si>
  <si>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</si>
  <si>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</si>
  <si>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</si>
  <si>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</si>
  <si>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</si>
  <si>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</si>
  <si>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</si>
  <si>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</si>
  <si>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</si>
  <si>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</si>
  <si>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</si>
  <si>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</si>
  <si>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</si>
  <si>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</si>
  <si>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</si>
  <si>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</si>
  <si>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</si>
  <si>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</si>
  <si>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</si>
  <si>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</si>
  <si>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</si>
  <si>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</si>
  <si>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</si>
  <si>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</si>
  <si>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</si>
  <si>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</si>
  <si>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</si>
  <si>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</si>
  <si>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</si>
  <si>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</si>
  <si>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</si>
  <si>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</si>
  <si>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</si>
  <si>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</si>
  <si>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</si>
  <si>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</si>
  <si>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</si>
  <si>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</si>
  <si>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</si>
  <si>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</si>
  <si>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</si>
  <si>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</si>
  <si>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</si>
  <si>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</si>
  <si>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</si>
  <si>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</si>
  <si>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</si>
  <si>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</si>
  <si>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</si>
  <si>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</si>
  <si>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</si>
  <si>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</si>
  <si>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</si>
  <si>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</si>
  <si>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</si>
  <si>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</si>
  <si>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</si>
  <si>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</si>
  <si>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</si>
  <si>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</si>
  <si>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</si>
  <si>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</si>
  <si>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</si>
  <si>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</si>
  <si>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</si>
  <si>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</si>
  <si>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</si>
  <si>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</si>
  <si>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</si>
  <si>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</si>
  <si>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</si>
  <si>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</si>
  <si>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</si>
  <si>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</si>
  <si>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</si>
  <si>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</si>
  <si>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</si>
  <si>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</si>
  <si>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</si>
  <si>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</si>
  <si>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</si>
  <si>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</si>
  <si>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</si>
  <si>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</si>
  <si>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</si>
  <si>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</si>
  <si>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</si>
  <si>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</si>
  <si>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</si>
  <si>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</si>
  <si>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</si>
  <si>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</si>
  <si>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</si>
  <si>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</si>
  <si>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</si>
  <si>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</si>
  <si>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</si>
  <si>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</si>
  <si>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</si>
  <si>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</si>
  <si>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</si>
  <si>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</si>
  <si>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</si>
  <si>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</si>
  <si>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</si>
  <si>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</si>
  <si>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</si>
  <si>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</si>
  <si>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</si>
  <si>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</si>
  <si>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</si>
  <si>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</si>
  <si>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</si>
  <si>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</si>
  <si>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</si>
  <si>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</si>
  <si>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</si>
  <si>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</si>
  <si>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</si>
  <si>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</si>
  <si>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</si>
  <si>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</si>
  <si>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</si>
  <si>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</si>
  <si>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</si>
  <si>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</si>
  <si>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</si>
  <si>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</si>
  <si>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</si>
  <si>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</si>
  <si>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</si>
  <si>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</si>
  <si>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</si>
  <si>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</si>
  <si>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</si>
  <si>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</si>
  <si>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</si>
  <si>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</si>
  <si>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</si>
  <si>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</si>
  <si>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</si>
  <si>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</si>
  <si>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</si>
  <si>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</si>
  <si>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</si>
  <si>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</si>
  <si>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</si>
  <si>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</si>
  <si>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</si>
  <si>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</si>
  <si>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</si>
  <si>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</si>
  <si>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</si>
  <si>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</si>
  <si>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</si>
  <si>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</si>
  <si>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</si>
  <si>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</si>
  <si>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</si>
  <si>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</si>
  <si>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</si>
  <si>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</si>
  <si>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</si>
  <si>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</si>
  <si>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</si>
  <si>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</si>
  <si>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</si>
  <si>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</si>
  <si>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</si>
  <si>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</si>
  <si>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</si>
  <si>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</si>
  <si>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</si>
  <si>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</si>
  <si>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</si>
  <si>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</si>
  <si>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</si>
  <si>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</si>
  <si>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</si>
  <si>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</si>
  <si>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</si>
  <si>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</si>
  <si>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</si>
  <si>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</si>
  <si>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</si>
  <si>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</si>
  <si>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</si>
  <si>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</si>
  <si>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</si>
  <si>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</si>
  <si>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</si>
  <si>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</si>
  <si>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</si>
  <si>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</si>
  <si>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</si>
  <si>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</si>
  <si>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</si>
  <si>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</si>
  <si>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</si>
  <si>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</si>
  <si>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</si>
  <si>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</si>
  <si>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</si>
  <si>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</si>
  <si>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</si>
  <si>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</si>
  <si>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</si>
  <si>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</si>
  <si>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</si>
  <si>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</si>
  <si>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</si>
  <si>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</si>
  <si>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</si>
  <si>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</si>
  <si>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</si>
  <si>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</si>
  <si>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</si>
  <si>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</si>
  <si>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</si>
  <si>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</si>
  <si>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</si>
  <si>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</si>
  <si>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</si>
  <si>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</si>
  <si>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</si>
  <si>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</si>
  <si>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</si>
  <si>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</si>
  <si>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</si>
  <si>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</si>
  <si>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</si>
  <si>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</si>
  <si>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</si>
  <si>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</si>
  <si>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</si>
  <si>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</si>
  <si>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</si>
  <si>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</si>
  <si>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</si>
  <si>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</si>
  <si>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</si>
  <si>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</si>
  <si>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</si>
  <si>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</si>
  <si>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</si>
  <si>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</si>
  <si>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</si>
  <si>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</si>
  <si>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</si>
  <si>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</si>
  <si>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</si>
  <si>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</si>
  <si>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</si>
  <si>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</si>
  <si>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</si>
  <si>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</si>
  <si>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</si>
  <si>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</si>
  <si>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</si>
  <si>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</si>
  <si>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</si>
  <si>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</si>
  <si>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</si>
  <si>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</si>
  <si>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</si>
  <si>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</si>
  <si>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</si>
  <si>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</si>
  <si>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</si>
  <si>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</si>
  <si>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</si>
  <si>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</si>
  <si>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</si>
  <si>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</si>
  <si>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</si>
  <si>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</si>
  <si>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</si>
  <si>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</si>
  <si>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</si>
  <si>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</si>
  <si>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</si>
  <si>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</si>
  <si>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</si>
  <si>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</si>
  <si>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</si>
  <si>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</si>
  <si>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</si>
  <si>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</si>
  <si>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</si>
  <si>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</si>
  <si>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</si>
  <si>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</si>
  <si>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</si>
  <si>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</si>
  <si>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</si>
  <si>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</si>
  <si>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</si>
  <si>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</si>
  <si>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</si>
  <si>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</si>
  <si>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</si>
  <si>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</si>
  <si>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</si>
  <si>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</si>
  <si>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</si>
  <si>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</si>
  <si>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</si>
  <si>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</si>
  <si>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</si>
  <si>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</si>
  <si>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</si>
  <si>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</si>
  <si>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</si>
  <si>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</si>
  <si>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</si>
  <si>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</si>
  <si>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</si>
  <si>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</si>
  <si>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</si>
  <si>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</si>
  <si>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</si>
  <si>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</si>
  <si>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</si>
  <si>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</si>
  <si>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</si>
  <si>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</si>
  <si>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</si>
  <si>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</si>
  <si>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</si>
  <si>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</si>
  <si>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</si>
  <si>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</si>
  <si>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</si>
  <si>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</si>
  <si>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</si>
  <si>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</si>
  <si>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</si>
  <si>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</si>
  <si>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</si>
  <si>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</si>
  <si>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</si>
  <si>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</si>
  <si>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</si>
  <si>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</si>
  <si>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</si>
  <si>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</si>
  <si>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</si>
  <si>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</si>
  <si>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</si>
  <si>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</si>
  <si>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</si>
  <si>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</si>
  <si>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</si>
  <si>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</si>
  <si>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</si>
  <si>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</si>
  <si>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</si>
  <si>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</si>
  <si>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</si>
  <si>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</si>
  <si>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</si>
  <si>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</si>
  <si>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</si>
  <si>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</si>
  <si>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</si>
  <si>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</si>
  <si>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</si>
  <si>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</si>
  <si>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</si>
  <si>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</si>
  <si>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</si>
  <si>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</si>
  <si>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</si>
  <si>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</si>
  <si>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</si>
  <si>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</si>
  <si>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</si>
  <si>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</si>
  <si>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</si>
  <si>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</si>
  <si>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</si>
  <si>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</si>
  <si>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</si>
  <si>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</si>
  <si>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</si>
  <si>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</si>
  <si>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</si>
  <si>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</si>
  <si>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</si>
  <si>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</si>
  <si>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</si>
  <si>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</si>
  <si>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</si>
  <si>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</si>
  <si>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</si>
  <si>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</si>
  <si>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</si>
  <si>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</si>
  <si>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</si>
  <si>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</si>
  <si>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</si>
  <si>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</si>
  <si>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</si>
  <si>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</si>
  <si>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</si>
  <si>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</si>
  <si>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</si>
  <si>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</si>
  <si>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</si>
  <si>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</si>
  <si>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</si>
  <si>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</si>
  <si>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</si>
  <si>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</si>
  <si>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</si>
  <si>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</si>
  <si>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</si>
  <si>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</si>
  <si>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</si>
  <si>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</si>
  <si>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</si>
  <si>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</si>
  <si>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</si>
  <si>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</si>
  <si>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</si>
  <si>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</si>
  <si>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</si>
  <si>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</si>
  <si>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</si>
  <si>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</si>
  <si>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</si>
  <si>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</si>
  <si>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</si>
  <si>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</si>
  <si>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</si>
  <si>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</si>
  <si>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</si>
  <si>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</si>
  <si>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</si>
  <si>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</si>
  <si>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</si>
  <si>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</si>
  <si>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</si>
  <si>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</si>
  <si>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</si>
  <si>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</si>
  <si>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</si>
  <si>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</si>
  <si>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</si>
  <si>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</si>
  <si>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</si>
  <si>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</si>
  <si>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</si>
  <si>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</si>
  <si>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</si>
  <si>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</si>
  <si>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</si>
  <si>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</si>
  <si>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</si>
  <si>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</si>
  <si>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</si>
  <si>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</si>
  <si>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</si>
  <si>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</si>
  <si>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</si>
  <si>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</si>
  <si>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</si>
  <si>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</si>
  <si>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</si>
  <si>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</si>
  <si>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</si>
  <si>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</si>
  <si>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</si>
  <si>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</si>
  <si>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</si>
  <si>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</si>
  <si>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</si>
  <si>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</si>
  <si>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</si>
  <si>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</si>
  <si>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</si>
  <si>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</si>
  <si>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</si>
  <si>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</si>
  <si>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</si>
  <si>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</si>
  <si>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</si>
  <si>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</si>
  <si>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</si>
  <si>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</si>
  <si>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</si>
  <si>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</si>
  <si>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</si>
  <si>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</si>
  <si>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</si>
  <si>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</si>
  <si>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</si>
  <si>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</si>
  <si>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</si>
  <si>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</si>
  <si>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</si>
  <si>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</si>
  <si>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</si>
  <si>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</si>
  <si>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</si>
  <si>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</si>
  <si>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</si>
  <si>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</si>
  <si>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</si>
  <si>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</si>
  <si>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</si>
  <si>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</si>
  <si>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</si>
  <si>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</si>
  <si>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</si>
  <si>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</si>
  <si>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</si>
  <si>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</si>
  <si>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</si>
  <si>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</si>
  <si>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</si>
  <si>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</si>
  <si>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</si>
  <si>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</si>
  <si>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</si>
  <si>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</si>
  <si>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</si>
  <si>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</si>
  <si>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</si>
  <si>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</si>
  <si>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</si>
  <si>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</si>
  <si>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</si>
  <si>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</si>
  <si>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</si>
  <si>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</si>
  <si>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</si>
  <si>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</si>
  <si>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</si>
  <si>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</si>
  <si>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</si>
  <si>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</si>
  <si>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</si>
  <si>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</si>
  <si>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</si>
  <si>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</si>
  <si>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</si>
  <si>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</si>
  <si>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</si>
  <si>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</si>
  <si>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</si>
  <si>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</si>
  <si>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</si>
  <si>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</si>
  <si>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</si>
  <si>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</si>
  <si>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</si>
  <si>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</si>
  <si>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</si>
  <si>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</si>
  <si>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</si>
  <si>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</si>
  <si>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</si>
  <si>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</si>
  <si>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</si>
  <si>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</si>
  <si>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</si>
  <si>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</si>
  <si>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</si>
  <si>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</si>
  <si>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</si>
  <si>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</si>
  <si>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</si>
  <si>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</si>
  <si>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</si>
  <si>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</si>
  <si>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</si>
  <si>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</si>
  <si>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</si>
  <si>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</si>
  <si>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</si>
  <si>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</si>
  <si>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</si>
  <si>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</si>
  <si>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</si>
  <si>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</si>
  <si>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</si>
  <si>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</si>
  <si>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</si>
  <si>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</si>
  <si>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</si>
  <si>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</si>
  <si>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</si>
  <si>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</si>
  <si>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</si>
  <si>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</si>
  <si>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</si>
  <si>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</si>
  <si>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</si>
  <si>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</si>
  <si>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</si>
  <si>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</si>
  <si>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</si>
  <si>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</si>
  <si>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</si>
  <si>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</si>
  <si>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</si>
  <si>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</si>
  <si>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</si>
  <si>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</si>
  <si>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</si>
  <si>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</si>
  <si>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</si>
  <si>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</si>
  <si>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</si>
  <si>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</si>
  <si>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</si>
  <si>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</si>
  <si>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</si>
  <si>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</si>
  <si>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</si>
  <si>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</si>
  <si>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</si>
  <si>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</si>
  <si>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</si>
  <si>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</si>
  <si>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</si>
  <si>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</si>
  <si>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</si>
  <si>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</si>
  <si>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</si>
  <si>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</si>
  <si>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</si>
  <si>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</si>
  <si>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</si>
  <si>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</si>
  <si>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</si>
  <si>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</si>
  <si>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</si>
  <si>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</si>
  <si>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</si>
  <si>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</si>
  <si>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</si>
  <si>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</si>
  <si>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</si>
  <si>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</si>
  <si>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</si>
  <si>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</si>
  <si>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</si>
  <si>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</si>
  <si>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</si>
  <si>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</si>
  <si>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</si>
  <si>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</si>
  <si>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</si>
  <si>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</si>
  <si>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</si>
  <si>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</si>
  <si>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</si>
  <si>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</si>
  <si>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</si>
  <si>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</si>
  <si>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</si>
  <si>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</si>
  <si>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</si>
  <si>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</si>
  <si>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</si>
  <si>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</si>
  <si>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</si>
  <si>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</si>
  <si>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</si>
  <si>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</si>
  <si>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</si>
  <si>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</si>
  <si>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</si>
  <si>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</si>
  <si>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</si>
  <si>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</si>
  <si>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</si>
  <si>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</si>
  <si>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</si>
  <si>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</si>
  <si>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</si>
  <si>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</si>
  <si>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</si>
  <si>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</si>
  <si>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</si>
  <si>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</si>
  <si>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</si>
  <si>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</si>
  <si>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</si>
  <si>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</si>
  <si>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</si>
  <si>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</si>
  <si>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</si>
  <si>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</si>
  <si>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</si>
  <si>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</si>
  <si>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</si>
  <si>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</si>
  <si>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</si>
  <si>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</si>
  <si>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</si>
  <si>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</si>
  <si>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</si>
  <si>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</si>
  <si>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</si>
  <si>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</si>
  <si>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</si>
  <si>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</si>
  <si>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</si>
  <si>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</si>
  <si>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</si>
  <si>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</si>
  <si>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</si>
  <si>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</si>
  <si>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</si>
  <si>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</si>
  <si>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</si>
  <si>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</si>
  <si>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</si>
  <si>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</si>
  <si>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</si>
  <si>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</si>
  <si>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</si>
  <si>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</si>
  <si>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</si>
  <si>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</si>
  <si>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</si>
  <si>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</si>
  <si>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</si>
  <si>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</si>
  <si>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</si>
  <si>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</si>
  <si>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</si>
  <si>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</si>
  <si>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</si>
  <si>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</si>
  <si>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</si>
  <si>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</si>
  <si>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</si>
  <si>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</si>
  <si>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</si>
  <si>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</si>
  <si>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</si>
  <si>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</si>
  <si>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</si>
  <si>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</si>
  <si>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</si>
  <si>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</si>
  <si>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</si>
  <si>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</si>
  <si>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</si>
  <si>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</si>
  <si>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</si>
  <si>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</si>
  <si>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</si>
  <si>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</si>
  <si>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</si>
  <si>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</si>
  <si>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</si>
  <si>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</si>
  <si>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</si>
  <si>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</si>
  <si>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</si>
  <si>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</si>
  <si>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</si>
  <si>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</si>
  <si>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</si>
  <si>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</si>
  <si>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</si>
  <si>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</si>
  <si>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</si>
  <si>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</si>
  <si>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</si>
  <si>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</si>
  <si>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</si>
  <si>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</si>
  <si>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</si>
  <si>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</si>
  <si>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</si>
  <si>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</si>
  <si>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</si>
  <si>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</si>
  <si>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</si>
  <si>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</si>
  <si>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</si>
  <si>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</si>
  <si>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</si>
  <si>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</si>
  <si>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</si>
  <si>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</si>
  <si>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</si>
  <si>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</si>
  <si>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</si>
  <si>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</si>
  <si>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</si>
  <si>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</si>
  <si>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</si>
  <si>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</si>
  <si>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</si>
  <si>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</si>
  <si>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</si>
  <si>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</si>
  <si>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</si>
  <si>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</si>
  <si>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</si>
  <si>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</si>
  <si>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</si>
  <si>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</si>
  <si>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</si>
  <si>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</si>
  <si>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</si>
  <si>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</si>
  <si>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</si>
  <si>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</si>
  <si>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</si>
  <si>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</si>
  <si>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</si>
  <si>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</si>
  <si>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</si>
  <si>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</si>
  <si>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</si>
  <si>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</si>
  <si>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</si>
  <si>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</si>
  <si>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</si>
  <si>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</si>
  <si>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</si>
  <si>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</si>
  <si>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</si>
  <si>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</si>
  <si>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</si>
  <si>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</si>
  <si>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</si>
  <si>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</si>
  <si>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</si>
  <si>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</si>
  <si>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</si>
  <si>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</si>
  <si>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</si>
  <si>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</si>
  <si>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</si>
  <si>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</si>
  <si>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</si>
  <si>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</si>
  <si>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</si>
  <si>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</si>
  <si>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</si>
  <si>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</si>
  <si>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</si>
  <si>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</si>
  <si>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</si>
  <si>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</si>
  <si>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</si>
  <si>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</si>
  <si>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</si>
  <si>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</si>
  <si>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</si>
  <si>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</si>
  <si>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</si>
  <si>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</si>
  <si>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</si>
  <si>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</si>
  <si>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</si>
  <si>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</si>
  <si>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</si>
  <si>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</si>
  <si>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</si>
  <si>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</si>
  <si>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</si>
  <si>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</si>
  <si>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</si>
  <si>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</si>
  <si>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</si>
  <si>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</si>
  <si>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</si>
  <si>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</si>
  <si>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</si>
  <si>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</si>
  <si>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</si>
  <si>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</si>
  <si>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</si>
  <si>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</si>
  <si>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</si>
  <si>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</si>
  <si>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</si>
  <si>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</si>
  <si>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</si>
  <si>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</si>
  <si>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</si>
  <si>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</si>
  <si>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</si>
  <si>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</si>
  <si>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</si>
  <si>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</si>
  <si>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</si>
  <si>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</si>
  <si>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</si>
  <si>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</si>
  <si>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</si>
  <si>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</si>
  <si>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</si>
  <si>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</si>
  <si>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</si>
  <si>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</si>
  <si>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</si>
  <si>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</si>
  <si>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</si>
  <si>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</si>
  <si>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</si>
  <si>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</si>
  <si>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</si>
  <si>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</si>
  <si>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</si>
  <si>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</si>
  <si>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</si>
  <si>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</si>
  <si>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</si>
  <si>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</si>
  <si>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</si>
  <si>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</si>
  <si>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</si>
  <si>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</si>
  <si>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</si>
  <si>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</si>
  <si>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</si>
  <si>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</si>
  <si>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</si>
  <si>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</si>
  <si>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</si>
  <si>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</si>
  <si>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</si>
  <si>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</si>
  <si>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</si>
  <si>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</si>
  <si>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</si>
  <si>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</si>
  <si>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</si>
  <si>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</si>
  <si>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</si>
  <si>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</si>
  <si>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</si>
  <si>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</si>
  <si>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</si>
  <si>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</si>
  <si>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</si>
  <si>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</si>
  <si>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</si>
  <si>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</si>
  <si>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</si>
  <si>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</si>
  <si>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</si>
  <si>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</si>
  <si>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</si>
  <si>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</si>
  <si>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</si>
  <si>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</si>
  <si>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</si>
  <si>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</si>
  <si>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</si>
  <si>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</si>
  <si>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</si>
  <si>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</si>
  <si>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</si>
  <si>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</si>
  <si>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</si>
  <si>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</si>
  <si>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</si>
  <si>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</si>
  <si>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</si>
  <si>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</si>
  <si>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</si>
  <si>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</si>
  <si>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</si>
  <si>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</si>
  <si>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</si>
  <si>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</si>
  <si>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</si>
  <si>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</si>
  <si>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</si>
  <si>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</si>
  <si>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</si>
  <si>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</si>
  <si>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</si>
  <si>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</si>
  <si>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</si>
  <si>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</si>
  <si>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</si>
  <si>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</si>
  <si>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</si>
  <si>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</si>
  <si>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</si>
  <si>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</si>
  <si>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</si>
  <si>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</si>
  <si>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</si>
  <si>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</si>
  <si>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</si>
  <si>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</si>
  <si>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</si>
  <si>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</si>
  <si>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</si>
  <si>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</si>
  <si>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</si>
  <si>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</si>
  <si>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</si>
  <si>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</si>
  <si>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</si>
  <si>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</si>
  <si>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</si>
  <si>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</si>
  <si>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</si>
  <si>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</si>
  <si>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</si>
  <si>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</si>
  <si>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</si>
  <si>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</si>
  <si>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</si>
  <si>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</si>
  <si>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</si>
  <si>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</si>
  <si>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</si>
  <si>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</si>
  <si>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</si>
  <si>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</si>
  <si>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</si>
  <si>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</si>
  <si>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</si>
  <si>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</si>
  <si>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</si>
  <si>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</si>
  <si>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</si>
  <si>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</si>
  <si>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</si>
  <si>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</si>
  <si>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</si>
  <si>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</si>
  <si>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</si>
  <si>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</si>
  <si>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</si>
  <si>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</si>
  <si>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</si>
  <si>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</si>
  <si>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</si>
  <si>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</si>
  <si>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</si>
  <si>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</si>
  <si>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</si>
  <si>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</si>
  <si>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</si>
  <si>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</si>
  <si>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</si>
  <si>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</si>
  <si>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</si>
  <si>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</si>
  <si>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</si>
  <si>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</si>
  <si>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</si>
  <si>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</si>
  <si>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</si>
  <si>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</si>
  <si>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</si>
  <si>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</si>
  <si>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</si>
  <si>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</si>
  <si>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</si>
  <si>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</si>
  <si>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</si>
  <si>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</si>
  <si>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</si>
  <si>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</si>
  <si>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</si>
  <si>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</si>
  <si>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</si>
  <si>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</si>
  <si>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</si>
  <si>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</si>
  <si>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</si>
  <si>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</si>
  <si>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</si>
  <si>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</si>
  <si>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</si>
  <si>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</si>
  <si>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</si>
  <si>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</si>
  <si>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</si>
  <si>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</si>
  <si>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</si>
  <si>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</si>
  <si>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</si>
  <si>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</si>
  <si>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</si>
  <si>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</si>
  <si>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</si>
  <si>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</si>
  <si>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</si>
  <si>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</si>
  <si>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</si>
  <si>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</si>
  <si>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</si>
  <si>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</si>
  <si>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</si>
  <si>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</si>
  <si>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</si>
  <si>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</si>
  <si>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</si>
  <si>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</si>
  <si>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</si>
  <si>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</si>
  <si>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</si>
  <si>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</si>
  <si>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</si>
  <si>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</si>
  <si>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</si>
  <si>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</si>
  <si>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</si>
  <si>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</si>
  <si>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</si>
  <si>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</si>
  <si>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</si>
  <si>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</si>
  <si>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</si>
  <si>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</si>
  <si>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</si>
  <si>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</si>
  <si>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</si>
  <si>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</si>
  <si>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</si>
  <si>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</si>
  <si>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</si>
  <si>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</si>
  <si>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</si>
  <si>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</si>
  <si>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</si>
  <si>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</si>
  <si>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</si>
  <si>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</si>
  <si>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</si>
  <si>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</si>
  <si>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</si>
  <si>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</si>
  <si>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</si>
  <si>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</si>
  <si>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</si>
  <si>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</si>
  <si>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</si>
  <si>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</si>
  <si>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</si>
  <si>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</si>
  <si>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</si>
  <si>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</si>
  <si>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</si>
  <si>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</si>
  <si>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</si>
  <si>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</si>
  <si>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</si>
  <si>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</si>
  <si>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</si>
  <si>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</si>
  <si>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</si>
  <si>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</si>
  <si>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</si>
  <si>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</si>
  <si>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</si>
  <si>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</si>
  <si>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</si>
  <si>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</si>
  <si>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</si>
  <si>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</si>
  <si>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</si>
  <si>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</si>
  <si>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</si>
  <si>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</si>
  <si>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</si>
  <si>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</si>
  <si>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</si>
  <si>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</si>
  <si>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</si>
  <si>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</si>
  <si>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</si>
  <si>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</si>
  <si>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</si>
  <si>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</si>
  <si>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</si>
  <si>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</si>
  <si>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</si>
  <si>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</si>
  <si>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</si>
  <si>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</si>
  <si>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</si>
  <si>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</si>
  <si>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</si>
  <si>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</si>
  <si>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</si>
  <si>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</si>
  <si>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</si>
  <si>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</si>
  <si>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</si>
  <si>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</si>
  <si>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</si>
  <si>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</si>
  <si>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</si>
  <si>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</si>
  <si>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</si>
  <si>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</si>
  <si>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</si>
  <si>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</si>
  <si>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</si>
  <si>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</si>
  <si>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</si>
  <si>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</si>
  <si>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</si>
  <si>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</si>
  <si>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</si>
  <si>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</si>
  <si>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</si>
  <si>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</si>
  <si>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</si>
  <si>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</si>
  <si>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</si>
  <si>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</si>
  <si>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</si>
  <si>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</si>
  <si>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</si>
  <si>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</si>
  <si>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</si>
  <si>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</si>
  <si>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</si>
  <si>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</si>
  <si>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</si>
  <si>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</si>
  <si>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</si>
  <si>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</si>
  <si>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</si>
  <si>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</si>
  <si>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</si>
  <si>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</si>
  <si>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</si>
  <si>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</si>
  <si>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</si>
  <si>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</si>
  <si>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</si>
  <si>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</si>
  <si>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</si>
  <si>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</si>
  <si>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</si>
  <si>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</si>
  <si>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</si>
  <si>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</si>
  <si>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</si>
  <si>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</si>
  <si>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</si>
  <si>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</si>
  <si>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</si>
  <si>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</si>
  <si>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</si>
  <si>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</si>
  <si>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</si>
  <si>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</si>
  <si>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</si>
  <si>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</si>
  <si>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</si>
  <si>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</si>
  <si>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</si>
  <si>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</si>
  <si>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</si>
  <si>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</si>
  <si>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</si>
  <si>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</si>
  <si>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</si>
  <si>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</si>
  <si>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</si>
  <si>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</si>
  <si>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</si>
  <si>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</si>
  <si>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</si>
  <si>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</si>
  <si>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</si>
  <si>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</si>
  <si>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</si>
  <si>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</si>
  <si>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</si>
  <si>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</si>
  <si>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</si>
  <si>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</si>
  <si>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</si>
  <si>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</si>
  <si>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</si>
  <si>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</si>
  <si>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</si>
  <si>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</si>
  <si>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</si>
  <si>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</si>
  <si>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</si>
  <si>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</si>
  <si>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</si>
  <si>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</si>
  <si>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</si>
  <si>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</si>
  <si>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</si>
  <si>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</si>
  <si>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</si>
  <si>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</si>
  <si>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</si>
  <si>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</si>
  <si>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</si>
  <si>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</si>
  <si>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</si>
  <si>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</si>
  <si>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</si>
  <si>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</si>
  <si>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</si>
  <si>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</si>
  <si>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</si>
  <si>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</si>
  <si>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</si>
  <si>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</si>
  <si>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</si>
  <si>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</si>
  <si>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</si>
  <si>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</si>
  <si>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</si>
  <si>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</si>
  <si>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</si>
  <si>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</si>
  <si>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</si>
  <si>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</si>
  <si>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</si>
  <si>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</si>
  <si>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</si>
  <si>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</si>
  <si>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</si>
  <si>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</si>
  <si>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</si>
  <si>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</si>
  <si>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</si>
  <si>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</si>
  <si>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</si>
  <si>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</si>
  <si>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</si>
  <si>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</si>
  <si>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</si>
  <si>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</si>
  <si>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</si>
  <si>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</si>
  <si>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</si>
  <si>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</si>
  <si>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</si>
  <si>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</si>
  <si>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</si>
  <si>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</si>
  <si>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</si>
  <si>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</si>
  <si>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</si>
  <si>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</si>
  <si>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</si>
  <si>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</si>
  <si>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</si>
  <si>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</si>
  <si>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</si>
  <si>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</si>
  <si>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</si>
  <si>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</si>
  <si>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</si>
  <si>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</si>
  <si>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</si>
  <si>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</si>
  <si>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</si>
  <si>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</si>
  <si>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</si>
  <si>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</si>
  <si>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</si>
  <si>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</si>
  <si>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</si>
  <si>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</si>
  <si>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</si>
  <si>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</si>
  <si>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</si>
  <si>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</si>
  <si>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</si>
  <si>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</si>
  <si>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</si>
  <si>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</si>
  <si>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</si>
  <si>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</si>
  <si>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</si>
  <si>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</si>
  <si>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</si>
  <si>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</si>
  <si>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</si>
  <si>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</si>
  <si>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</si>
  <si>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</si>
  <si>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</si>
  <si>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</si>
  <si>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</si>
  <si>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</si>
  <si>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</si>
  <si>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</si>
  <si>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</si>
  <si>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</si>
  <si>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</si>
  <si>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</si>
  <si>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</si>
  <si>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</si>
  <si>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</si>
  <si>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</si>
  <si>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</si>
  <si>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</si>
  <si>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</si>
  <si>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</si>
  <si>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</si>
  <si>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</si>
  <si>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</si>
  <si>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</si>
  <si>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</si>
  <si>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</si>
  <si>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</si>
  <si>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</si>
  <si>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</si>
  <si>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</si>
  <si>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</si>
  <si>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</si>
  <si>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</si>
  <si>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</si>
  <si>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</si>
  <si>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</si>
  <si>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</si>
  <si>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</si>
  <si>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</si>
  <si>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</si>
  <si>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</si>
  <si>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</si>
  <si>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</si>
  <si>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</si>
  <si>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</si>
  <si>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</si>
  <si>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</si>
  <si>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</si>
  <si>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</si>
  <si>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</si>
  <si>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</si>
  <si>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</si>
  <si>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</si>
  <si>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</si>
  <si>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</si>
  <si>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</si>
  <si>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</si>
  <si>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</si>
  <si>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</si>
  <si>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</si>
  <si>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</si>
  <si>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</si>
  <si>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</si>
  <si>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</si>
  <si>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</si>
  <si>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</si>
  <si>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</si>
  <si>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</si>
  <si>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</si>
  <si>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</si>
  <si>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</si>
  <si>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</si>
  <si>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</si>
  <si>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</si>
  <si>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</si>
  <si>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</si>
  <si>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</si>
  <si>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</si>
  <si>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</si>
  <si>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</si>
  <si>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</si>
  <si>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</si>
  <si>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</si>
  <si>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</si>
  <si>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</si>
  <si>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</si>
  <si>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</si>
  <si>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</si>
  <si>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</si>
  <si>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</si>
  <si>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</si>
  <si>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</si>
  <si>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</si>
  <si>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</si>
  <si>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</si>
  <si>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</si>
  <si>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</si>
  <si>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</si>
  <si>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</si>
  <si>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</si>
  <si>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</si>
  <si>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</si>
  <si>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</si>
  <si>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</si>
  <si>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</si>
  <si>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</si>
  <si>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</si>
  <si>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</si>
  <si>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</si>
  <si>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</si>
  <si>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</si>
  <si>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</si>
  <si>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</si>
  <si>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</si>
  <si>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</si>
  <si>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</si>
  <si>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</si>
  <si>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</si>
  <si>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</si>
  <si>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</si>
  <si>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</si>
  <si>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</si>
  <si>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</si>
  <si>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</si>
  <si>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</si>
  <si>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</si>
  <si>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</si>
  <si>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</si>
  <si>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</si>
  <si>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</si>
  <si>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</si>
  <si>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</si>
  <si>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</si>
  <si>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</si>
  <si>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</si>
  <si>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</si>
  <si>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</si>
  <si>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</si>
  <si>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</si>
  <si>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</si>
  <si>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</si>
  <si>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</si>
  <si>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</si>
  <si>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</si>
  <si>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</si>
  <si>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</si>
  <si>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</si>
  <si>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</si>
  <si>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</si>
  <si>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</si>
  <si>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</si>
  <si>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</si>
  <si>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</si>
  <si>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</si>
  <si>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</si>
  <si>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</si>
  <si>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</si>
  <si>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</si>
  <si>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</si>
  <si>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</si>
  <si>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</si>
  <si>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</si>
  <si>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</si>
  <si>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</si>
  <si>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</si>
  <si>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</si>
  <si>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</si>
  <si>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</si>
  <si>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</si>
  <si>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</si>
  <si>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</si>
  <si>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</si>
  <si>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</si>
  <si>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</si>
  <si>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</si>
  <si>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</si>
  <si>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</si>
  <si>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</si>
  <si>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</si>
  <si>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</si>
  <si>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</si>
  <si>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</si>
  <si>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</si>
  <si>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</si>
  <si>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</si>
  <si>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</si>
  <si>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</si>
  <si>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</si>
  <si>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</si>
  <si>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</si>
  <si>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</si>
  <si>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</si>
  <si>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</si>
  <si>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</si>
  <si>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</si>
  <si>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</si>
  <si>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</si>
  <si>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</si>
  <si>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</si>
  <si>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</si>
  <si>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</si>
  <si>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</si>
  <si>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</si>
  <si>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</si>
  <si>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</si>
  <si>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</si>
  <si>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</si>
  <si>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</si>
  <si>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</si>
  <si>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</si>
  <si>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</si>
  <si>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</si>
  <si>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</si>
  <si>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</si>
  <si>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</si>
  <si>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</si>
  <si>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</si>
  <si>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</si>
  <si>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</si>
  <si>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</si>
  <si>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</si>
  <si>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</si>
  <si>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</si>
  <si>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</si>
  <si>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</si>
  <si>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</si>
  <si>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</si>
  <si>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</si>
  <si>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</si>
  <si>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</si>
  <si>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</si>
  <si>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</si>
  <si>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</si>
  <si>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</si>
  <si>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</si>
  <si>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</si>
  <si>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</si>
  <si>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</si>
  <si>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</si>
  <si>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</si>
  <si>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</si>
  <si>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</si>
  <si>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</si>
  <si>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</si>
  <si>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</si>
  <si>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</si>
  <si>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</si>
  <si>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</si>
  <si>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</si>
  <si>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</si>
  <si>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</si>
  <si>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</si>
  <si>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</si>
  <si>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</si>
  <si>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</si>
  <si>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</si>
  <si>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</si>
  <si>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</si>
  <si>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</si>
  <si>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</si>
  <si>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</si>
  <si>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</si>
  <si>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</si>
  <si>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</si>
  <si>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</si>
  <si>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</si>
  <si>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</si>
  <si>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</si>
  <si>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</si>
  <si>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</si>
  <si>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</si>
  <si>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</si>
  <si>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</si>
  <si>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</si>
  <si>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</si>
  <si>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</si>
  <si>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</si>
  <si>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</si>
  <si>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</si>
  <si>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</si>
  <si>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</si>
  <si>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</si>
  <si>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</si>
  <si>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</si>
  <si>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</si>
  <si>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</si>
  <si>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</si>
  <si>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</si>
  <si>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</si>
  <si>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</si>
  <si>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</si>
  <si>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</si>
  <si>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</si>
  <si>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</si>
  <si>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</si>
  <si>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</si>
  <si>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</si>
  <si>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</si>
  <si>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</si>
  <si>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</si>
  <si>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</si>
  <si>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</si>
  <si>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</si>
  <si>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</si>
  <si>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</si>
  <si>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</si>
  <si>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</si>
  <si>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</si>
  <si>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</si>
  <si>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</si>
  <si>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</si>
  <si>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</si>
  <si>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</si>
  <si>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</si>
  <si>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</si>
  <si>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</si>
  <si>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</si>
  <si>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</si>
  <si>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</si>
  <si>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</si>
  <si>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</si>
  <si>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</si>
  <si>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</si>
  <si>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</si>
  <si>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</si>
  <si>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</si>
  <si>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</si>
  <si>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</si>
  <si>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</si>
  <si>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</si>
  <si>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</si>
  <si>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</si>
  <si>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</si>
  <si>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</si>
  <si>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</si>
  <si>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</si>
  <si>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</si>
  <si>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</si>
  <si>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</si>
  <si>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</si>
  <si>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</si>
  <si>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</si>
  <si>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</si>
  <si>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</si>
  <si>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</si>
  <si>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</si>
  <si>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</si>
  <si>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</si>
  <si>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</si>
  <si>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</si>
  <si>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</si>
  <si>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</si>
  <si>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</si>
  <si>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</si>
  <si>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</si>
  <si>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</si>
  <si>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</si>
  <si>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</si>
  <si>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</si>
  <si>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</si>
  <si>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</si>
  <si>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</si>
  <si>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</si>
  <si>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</si>
  <si>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</si>
  <si>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</si>
  <si>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</si>
  <si>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</si>
  <si>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</si>
  <si>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</si>
  <si>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</si>
  <si>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</si>
  <si>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</si>
  <si>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</si>
  <si>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</si>
  <si>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</si>
  <si>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</si>
  <si>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</si>
  <si>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</si>
  <si>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</si>
  <si>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</si>
  <si>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</si>
  <si>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</si>
  <si>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</si>
  <si>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</si>
  <si>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</si>
  <si>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</si>
  <si>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</si>
  <si>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</si>
  <si>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</si>
  <si>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</si>
  <si>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</si>
  <si>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</si>
  <si>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</si>
  <si>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</si>
  <si>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</si>
  <si>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</si>
  <si>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</si>
  <si>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</si>
  <si>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</si>
  <si>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</si>
  <si>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</si>
  <si>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</si>
  <si>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</si>
  <si>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</si>
  <si>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</si>
  <si>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</si>
  <si>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</si>
  <si>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</si>
  <si>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</si>
  <si>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</si>
  <si>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</si>
  <si>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</si>
  <si>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</si>
  <si>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</si>
  <si>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</si>
  <si>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</si>
  <si>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</si>
  <si>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</si>
  <si>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</si>
  <si>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</si>
  <si>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</si>
  <si>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</si>
  <si>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</si>
  <si>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</si>
  <si>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</si>
  <si>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</si>
  <si>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</si>
  <si>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</si>
  <si>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</si>
  <si>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</si>
  <si>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</si>
  <si>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</si>
  <si>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</si>
  <si>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</si>
  <si>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</si>
  <si>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</si>
  <si>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</si>
  <si>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</si>
  <si>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</si>
  <si>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</si>
  <si>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</si>
  <si>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</si>
  <si>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</si>
  <si>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</si>
  <si>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</si>
  <si>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</si>
  <si>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</si>
  <si>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</si>
  <si>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</si>
  <si>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</si>
  <si>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</si>
  <si>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</si>
  <si>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</si>
  <si>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</si>
  <si>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</si>
  <si>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</si>
  <si>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</si>
  <si>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</si>
  <si>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</si>
  <si>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</si>
  <si>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</si>
  <si>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</si>
  <si>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</si>
  <si>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</si>
  <si>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</si>
  <si>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</si>
  <si>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</si>
  <si>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</si>
  <si>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</si>
  <si>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</si>
  <si>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</si>
  <si>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</si>
  <si>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</si>
  <si>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</si>
  <si>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</si>
  <si>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</si>
  <si>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</si>
  <si>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</si>
  <si>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</si>
  <si>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</si>
  <si>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</si>
  <si>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</si>
  <si>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</si>
  <si>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</si>
  <si>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</si>
  <si>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</si>
  <si>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</si>
  <si>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</si>
  <si>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</si>
  <si>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</si>
  <si>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</si>
  <si>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</si>
  <si>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</si>
  <si>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</si>
  <si>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</si>
  <si>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</si>
  <si>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</si>
  <si>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</si>
  <si>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</si>
  <si>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</si>
  <si>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</si>
  <si>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</si>
  <si>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</si>
  <si>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</si>
  <si>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</si>
  <si>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</si>
  <si>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</si>
  <si>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</si>
  <si>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</si>
  <si>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</si>
  <si>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</si>
  <si>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</si>
  <si>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</si>
  <si>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</si>
  <si>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</si>
  <si>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</si>
  <si>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</si>
  <si>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</si>
  <si>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</si>
  <si>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</si>
  <si>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</si>
  <si>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</si>
  <si>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</si>
  <si>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</si>
  <si>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</si>
  <si>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</si>
  <si>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</si>
  <si>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</si>
  <si>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</si>
  <si>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</si>
  <si>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</si>
  <si>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</si>
  <si>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</si>
  <si>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</si>
  <si>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</si>
  <si>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</si>
  <si>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</si>
  <si>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</si>
  <si>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</si>
  <si>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</si>
  <si>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</si>
  <si>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</si>
  <si>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</si>
  <si>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</si>
  <si>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</si>
  <si>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</si>
  <si>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</si>
  <si>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</si>
  <si>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</si>
  <si>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</si>
  <si>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</si>
  <si>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</si>
  <si>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</si>
  <si>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</si>
  <si>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</si>
  <si>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</si>
  <si>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</si>
  <si>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</si>
  <si>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</si>
  <si>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</si>
  <si>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</si>
  <si>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</si>
  <si>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</si>
  <si>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</si>
  <si>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</si>
  <si>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</si>
  <si>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</si>
  <si>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</si>
  <si>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</si>
  <si>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</si>
  <si>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</si>
  <si>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</si>
  <si>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</si>
  <si>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</si>
  <si>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</si>
  <si>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</si>
  <si>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</si>
  <si>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</si>
  <si>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</si>
  <si>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</si>
  <si>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</si>
  <si>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</si>
  <si>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</si>
  <si>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</si>
  <si>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</si>
  <si>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</si>
  <si>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</si>
  <si>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</si>
  <si>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</si>
  <si>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</si>
  <si>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</si>
  <si>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</si>
  <si>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</si>
  <si>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</si>
  <si>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</si>
  <si>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</si>
  <si>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</si>
  <si>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</si>
  <si>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</si>
  <si>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</si>
  <si>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</si>
  <si>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</si>
  <si>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</si>
  <si>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</si>
  <si>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</si>
  <si>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</si>
  <si>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</si>
  <si>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</si>
  <si>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</si>
  <si>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</si>
  <si>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</si>
  <si>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</si>
  <si>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</si>
  <si>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</si>
  <si>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</si>
  <si>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</si>
  <si>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</si>
  <si>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</si>
  <si>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</si>
  <si>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</si>
  <si>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</si>
  <si>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</si>
  <si>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</si>
  <si>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</si>
  <si>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</si>
  <si>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</si>
  <si>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</si>
  <si>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</si>
  <si>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</si>
  <si>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</si>
  <si>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</si>
  <si>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</si>
  <si>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</si>
  <si>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</si>
  <si>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</si>
  <si>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</si>
  <si>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</si>
  <si>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</si>
  <si>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</si>
  <si>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</si>
  <si>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</si>
  <si>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</si>
  <si>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</si>
  <si>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</si>
  <si>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</si>
  <si>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</si>
  <si>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</si>
  <si>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</si>
  <si>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</si>
  <si>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</si>
  <si>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</si>
  <si>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</si>
  <si>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</si>
  <si>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</si>
  <si>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</si>
  <si>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</si>
  <si>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</si>
  <si>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</si>
  <si>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</si>
  <si>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</si>
  <si>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</si>
  <si>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</si>
  <si>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</si>
  <si>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</si>
  <si>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</si>
  <si>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</si>
  <si>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</si>
  <si>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</si>
  <si>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</si>
  <si>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</si>
  <si>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</si>
  <si>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</si>
  <si>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</si>
  <si>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</si>
  <si>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</si>
  <si>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</si>
  <si>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</si>
  <si>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</si>
  <si>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</si>
  <si>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</si>
  <si>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</si>
  <si>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</si>
  <si>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</si>
  <si>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</si>
  <si>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</si>
  <si>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</si>
  <si>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</si>
  <si>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</si>
  <si>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</si>
  <si>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</si>
  <si>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</si>
  <si>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</si>
  <si>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</si>
  <si>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</si>
  <si>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</si>
  <si>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</si>
  <si>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</si>
  <si>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</si>
  <si>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</si>
  <si>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</si>
  <si>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</si>
  <si>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</si>
  <si>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</si>
  <si>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</si>
  <si>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</si>
  <si>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</si>
  <si>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</si>
  <si>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</si>
  <si>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</si>
  <si>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</si>
  <si>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</si>
  <si>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</si>
  <si>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</si>
  <si>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</si>
  <si>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</si>
  <si>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</si>
  <si>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</si>
  <si>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</si>
  <si>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</si>
  <si>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</si>
  <si>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</si>
  <si>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</si>
  <si>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</si>
  <si>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</si>
  <si>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</si>
  <si>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</si>
  <si>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</si>
  <si>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</si>
  <si>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</si>
  <si>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</si>
  <si>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</si>
  <si>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</si>
  <si>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</si>
  <si>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</si>
  <si>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</si>
  <si>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</si>
  <si>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</si>
  <si>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</si>
  <si>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</si>
  <si>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</si>
  <si>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</si>
  <si>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</si>
  <si>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</si>
  <si>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</si>
  <si>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</si>
  <si>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</si>
  <si>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</si>
  <si>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</si>
  <si>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</si>
  <si>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</si>
  <si>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</si>
  <si>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</si>
  <si>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</si>
  <si>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</si>
  <si>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</si>
  <si>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</si>
  <si>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</si>
  <si>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</si>
  <si>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</si>
  <si>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</si>
  <si>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</si>
  <si>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</si>
  <si>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</si>
  <si>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</si>
  <si>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</si>
  <si>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</si>
  <si>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</si>
  <si>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</si>
  <si>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</si>
  <si>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</si>
  <si>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</si>
  <si>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</si>
  <si>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</si>
  <si>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</si>
  <si>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</si>
  <si>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</si>
  <si>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</si>
  <si>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</si>
  <si>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</si>
  <si>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</si>
  <si>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</si>
  <si>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</si>
  <si>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</si>
  <si>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</si>
  <si>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</si>
  <si>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</si>
  <si>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</si>
  <si>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</si>
  <si>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</si>
  <si>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</si>
  <si>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</si>
  <si>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</si>
  <si>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</si>
  <si>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</si>
  <si>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</si>
  <si>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</si>
  <si>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</si>
  <si>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</si>
  <si>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</si>
  <si>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</si>
  <si>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</si>
  <si>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</si>
  <si>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</si>
  <si>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</si>
  <si>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</si>
  <si>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</si>
  <si>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</si>
  <si>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</si>
  <si>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</si>
  <si>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</si>
  <si>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</si>
  <si>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</si>
  <si>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</si>
  <si>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</si>
  <si>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</si>
  <si>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</si>
  <si>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</si>
  <si>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</si>
  <si>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</si>
  <si>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</si>
  <si>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</si>
  <si>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</si>
  <si>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</si>
  <si>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</si>
  <si>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</si>
  <si>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</si>
  <si>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</si>
  <si>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</si>
  <si>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</si>
  <si>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</si>
  <si>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</si>
  <si>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</si>
  <si>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</si>
  <si>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</si>
  <si>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</si>
  <si>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</si>
  <si>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</si>
  <si>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</si>
  <si>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</si>
  <si>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</si>
  <si>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</si>
  <si>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</si>
  <si>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</si>
  <si>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</si>
  <si>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</si>
  <si>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</si>
  <si>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</si>
  <si>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</si>
  <si>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</si>
  <si>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</si>
  <si>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</si>
  <si>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</si>
  <si>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</si>
  <si>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</si>
  <si>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</si>
  <si>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</si>
  <si>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</si>
  <si>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</si>
  <si>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</si>
  <si>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</si>
  <si>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</si>
  <si>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</si>
  <si>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</si>
  <si>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</si>
  <si>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</si>
  <si>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</si>
  <si>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</si>
  <si>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</si>
  <si>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</si>
  <si>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</si>
  <si>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</si>
  <si>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</si>
  <si>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</si>
  <si>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</si>
  <si>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</si>
  <si>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</si>
  <si>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</si>
  <si>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</si>
  <si>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</si>
  <si>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</si>
  <si>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</si>
  <si>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</si>
  <si>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</si>
  <si>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</si>
  <si>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</si>
  <si>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</si>
  <si>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</si>
  <si>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</si>
  <si>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</si>
  <si>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</si>
  <si>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</si>
  <si>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</si>
  <si>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</si>
  <si>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</si>
  <si>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</si>
  <si>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</si>
  <si>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</si>
  <si>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</si>
  <si>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</si>
  <si>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</si>
  <si>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</si>
  <si>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</si>
  <si>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</si>
  <si>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</si>
  <si>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</si>
  <si>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</si>
  <si>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</si>
  <si>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</si>
  <si>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</si>
  <si>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</si>
  <si>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</si>
  <si>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</si>
  <si>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</si>
  <si>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</si>
  <si>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</si>
  <si>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</si>
  <si>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</si>
  <si>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</si>
  <si>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</si>
  <si>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</si>
  <si>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</si>
  <si>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</si>
  <si>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</si>
  <si>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</si>
  <si>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</si>
  <si>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</si>
  <si>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</si>
  <si>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</si>
  <si>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</si>
  <si>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</si>
  <si>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</si>
  <si>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</si>
  <si>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</si>
  <si>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</si>
  <si>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</si>
  <si>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</si>
  <si>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</si>
  <si>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</si>
  <si>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</si>
  <si>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</si>
  <si>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</si>
  <si>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</si>
  <si>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</si>
  <si>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</si>
  <si>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</si>
  <si>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</si>
  <si>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</si>
  <si>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</si>
  <si>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</si>
  <si>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</si>
  <si>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</si>
  <si>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</si>
  <si>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</si>
  <si>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</si>
  <si>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</si>
  <si>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</si>
  <si>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</si>
  <si>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</si>
  <si>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</si>
  <si>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</si>
  <si>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</si>
  <si>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</si>
  <si>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</si>
  <si>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</si>
  <si>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</si>
  <si>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</si>
  <si>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</si>
  <si>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</si>
  <si>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</si>
  <si>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</si>
  <si>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</si>
  <si>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</si>
  <si>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</si>
  <si>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</si>
  <si>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</si>
  <si>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</si>
  <si>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</si>
  <si>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</si>
  <si>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</si>
  <si>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</si>
  <si>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</si>
  <si>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</si>
  <si>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</si>
  <si>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</si>
  <si>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</si>
  <si>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</si>
  <si>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</si>
  <si>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</si>
  <si>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</si>
  <si>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</si>
  <si>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</si>
  <si>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</si>
  <si>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</si>
  <si>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</si>
  <si>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</si>
  <si>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</si>
  <si>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</si>
  <si>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</si>
  <si>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</si>
  <si>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</si>
  <si>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</si>
  <si>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</si>
  <si>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</si>
  <si>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</si>
  <si>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</si>
  <si>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</si>
  <si>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</si>
  <si>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</si>
  <si>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</si>
  <si>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</si>
  <si>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</si>
  <si>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</si>
  <si>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</si>
  <si>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</si>
  <si>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</si>
  <si>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</si>
  <si>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</si>
  <si>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</si>
  <si>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</si>
  <si>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</si>
  <si>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</si>
  <si>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</si>
  <si>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</si>
  <si>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</si>
  <si>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</si>
  <si>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</si>
  <si>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</si>
  <si>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</si>
  <si>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</si>
  <si>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</si>
  <si>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</si>
  <si>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</si>
  <si>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</si>
  <si>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</si>
  <si>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</si>
  <si>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</si>
  <si>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</si>
  <si>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</si>
  <si>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</si>
  <si>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</si>
  <si>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</si>
  <si>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</si>
  <si>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</si>
  <si>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</si>
  <si>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</si>
  <si>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</si>
  <si>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</si>
  <si>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</si>
  <si>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</si>
  <si>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</si>
  <si>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</si>
  <si>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</si>
  <si>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</si>
  <si>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</si>
  <si>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</si>
  <si>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</si>
  <si>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</si>
  <si>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</si>
  <si>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</si>
  <si>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</si>
  <si>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</si>
  <si>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</si>
  <si>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</si>
  <si>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</si>
  <si>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</si>
  <si>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</si>
  <si>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</si>
  <si>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</si>
  <si>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</si>
  <si>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</si>
  <si>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</si>
  <si>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</si>
  <si>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</si>
  <si>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</si>
  <si>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</si>
  <si>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</si>
  <si>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</si>
  <si>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</si>
  <si>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</si>
  <si>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</si>
  <si>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</si>
  <si>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</si>
  <si>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</si>
  <si>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</si>
  <si>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</si>
  <si>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</si>
  <si>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</si>
  <si>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</si>
  <si>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</si>
  <si>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</si>
  <si>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</si>
  <si>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</si>
  <si>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</si>
  <si>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</si>
  <si>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</si>
  <si>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</si>
  <si>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</si>
  <si>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</si>
  <si>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</si>
  <si>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</si>
  <si>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</si>
  <si>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</si>
  <si>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</si>
  <si>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</si>
  <si>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</si>
  <si>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</si>
  <si>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</si>
  <si>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</si>
  <si>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</si>
  <si>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</si>
  <si>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</si>
  <si>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</si>
  <si>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</si>
  <si>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</si>
  <si>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</si>
  <si>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</si>
  <si>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</si>
  <si>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</si>
  <si>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</si>
  <si>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</si>
  <si>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</si>
  <si>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</si>
  <si>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</si>
  <si>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</si>
  <si>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</si>
  <si>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</si>
  <si>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</si>
  <si>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</si>
  <si>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</si>
  <si>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</si>
  <si>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</si>
  <si>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</si>
  <si>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</si>
  <si>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</si>
  <si>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</si>
  <si>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</si>
  <si>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</si>
  <si>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</si>
  <si>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</si>
  <si>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</si>
  <si>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</si>
  <si>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</si>
  <si>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</si>
  <si>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</si>
  <si>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</si>
  <si>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</si>
  <si>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</si>
  <si>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</si>
  <si>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</si>
  <si>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</si>
  <si>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</si>
  <si>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</si>
  <si>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</si>
  <si>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</si>
  <si>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</si>
  <si>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</si>
  <si>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</si>
  <si>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</si>
  <si>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</si>
  <si>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</si>
  <si>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</si>
  <si>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</si>
  <si>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</si>
  <si>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</si>
  <si>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</si>
  <si>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</si>
  <si>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</si>
  <si>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</si>
  <si>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</si>
  <si>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</si>
  <si>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</si>
  <si>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</si>
  <si>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</si>
  <si>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</si>
  <si>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</si>
  <si>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</si>
  <si>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</si>
  <si>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</si>
  <si>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</si>
  <si>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</si>
  <si>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</si>
  <si>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</si>
  <si>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</si>
  <si>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</si>
  <si>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</si>
  <si>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</si>
  <si>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</si>
  <si>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</si>
  <si>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</si>
  <si>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</si>
  <si>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</si>
  <si>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</si>
  <si>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</si>
  <si>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</si>
  <si>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</si>
  <si>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</si>
  <si>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</si>
  <si>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</si>
  <si>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</si>
  <si>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</si>
  <si>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</si>
  <si>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</si>
  <si>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</si>
  <si>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</si>
  <si>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</si>
  <si>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</si>
  <si>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</si>
  <si>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</si>
  <si>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</si>
  <si>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</si>
  <si>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</si>
  <si>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</si>
  <si>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</si>
  <si>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</si>
  <si>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</si>
  <si>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</si>
  <si>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</si>
  <si>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</si>
  <si>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</si>
  <si>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</si>
  <si>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</si>
  <si>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</si>
  <si>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</si>
  <si>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</si>
  <si>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</si>
  <si>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</si>
  <si>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</si>
  <si>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</si>
  <si>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</si>
  <si>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</si>
  <si>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</si>
  <si>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</si>
  <si>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</si>
  <si>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</si>
  <si>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</si>
  <si>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</si>
  <si>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</si>
  <si>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</si>
  <si>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</si>
  <si>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</si>
  <si>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</si>
  <si>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</si>
  <si>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</si>
  <si>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</si>
  <si>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</si>
  <si>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</si>
  <si>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</si>
  <si>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</si>
  <si>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</si>
  <si>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</si>
  <si>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</si>
  <si>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</si>
  <si>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</si>
  <si>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</si>
  <si>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</si>
  <si>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</si>
  <si>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</si>
  <si>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</si>
  <si>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</si>
  <si>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</si>
  <si>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</si>
  <si>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</si>
  <si>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</si>
  <si>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</si>
  <si>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</si>
  <si>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</si>
  <si>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</si>
  <si>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</si>
  <si>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</si>
  <si>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</si>
  <si>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</si>
  <si>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</si>
  <si>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</si>
  <si>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</si>
  <si>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</si>
  <si>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</si>
  <si>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</si>
  <si>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</si>
  <si>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</si>
  <si>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</si>
  <si>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</si>
  <si>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</si>
  <si>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</si>
  <si>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</si>
  <si>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</si>
  <si>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</si>
  <si>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</si>
  <si>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</si>
  <si>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</si>
  <si>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</si>
  <si>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</si>
  <si>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</si>
  <si>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</si>
  <si>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</si>
  <si>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</si>
  <si>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</si>
  <si>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</si>
  <si>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</si>
  <si>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</si>
  <si>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</si>
  <si>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</si>
  <si>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</si>
  <si>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</si>
  <si>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</si>
  <si>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</si>
  <si>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</si>
  <si>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</si>
  <si>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</si>
  <si>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</si>
  <si>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</si>
  <si>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</si>
  <si>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</si>
  <si>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</si>
  <si>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</si>
  <si>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</si>
  <si>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</si>
  <si>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</si>
  <si>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</si>
  <si>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</si>
  <si>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</si>
  <si>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</si>
  <si>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</si>
  <si>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</si>
  <si>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</si>
  <si>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</si>
  <si>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</si>
  <si>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</si>
  <si>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</si>
  <si>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</si>
  <si>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</si>
  <si>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</si>
  <si>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</si>
  <si>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</si>
  <si>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</si>
  <si>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</si>
  <si>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</si>
  <si>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</si>
  <si>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</si>
  <si>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</si>
  <si>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</si>
  <si>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</si>
  <si>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</si>
  <si>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</si>
  <si>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</si>
  <si>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</si>
  <si>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</si>
  <si>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</si>
  <si>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</si>
  <si>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</si>
  <si>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</si>
  <si>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</si>
  <si>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</si>
  <si>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</si>
  <si>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</si>
  <si>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</si>
  <si>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</si>
  <si>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</si>
  <si>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</si>
  <si>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</si>
  <si>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</si>
  <si>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</si>
  <si>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</si>
  <si>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</si>
  <si>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</si>
  <si>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</si>
  <si>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</si>
  <si>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</si>
  <si>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</si>
  <si>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</si>
  <si>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</si>
  <si>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</si>
  <si>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</si>
  <si>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</si>
  <si>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</si>
  <si>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</si>
  <si>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</si>
  <si>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</si>
  <si>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</si>
  <si>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</si>
  <si>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</si>
  <si>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</si>
  <si>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</si>
  <si>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</si>
  <si>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</si>
  <si>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</si>
  <si>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</si>
  <si>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</si>
  <si>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</si>
  <si>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</si>
  <si>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</si>
  <si>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</si>
  <si>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</si>
  <si>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</si>
  <si>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</si>
  <si>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</si>
  <si>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</si>
  <si>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</si>
  <si>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</si>
  <si>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</si>
  <si>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</si>
  <si>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</si>
  <si>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</si>
  <si>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</si>
  <si>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</si>
  <si>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</si>
  <si>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</si>
  <si>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</si>
  <si>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</si>
  <si>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</si>
  <si>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</si>
  <si>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</si>
  <si>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</si>
  <si>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</si>
  <si>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</si>
  <si>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</si>
  <si>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</si>
  <si>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</si>
  <si>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</si>
  <si>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</si>
  <si>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</si>
  <si>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</si>
  <si>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</si>
  <si>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</si>
  <si>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</si>
  <si>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</si>
  <si>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</si>
  <si>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</si>
  <si>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</si>
  <si>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</si>
  <si>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</si>
  <si>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</si>
  <si>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</si>
  <si>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</si>
  <si>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</si>
  <si>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</si>
  <si>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</si>
  <si>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</si>
  <si>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</si>
  <si>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</si>
  <si>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</si>
  <si>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</si>
  <si>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</si>
  <si>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</si>
  <si>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</si>
  <si>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</si>
  <si>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</si>
  <si>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</si>
  <si>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</si>
  <si>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</si>
  <si>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</si>
  <si>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</si>
  <si>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</si>
  <si>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</si>
  <si>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</si>
  <si>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</si>
  <si>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</si>
  <si>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</si>
  <si>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</si>
  <si>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</si>
  <si>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</si>
  <si>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</si>
  <si>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</si>
  <si>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</si>
  <si>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</si>
  <si>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</si>
  <si>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</si>
  <si>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</si>
  <si>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</si>
  <si>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</si>
  <si>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</si>
  <si>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</si>
  <si>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</si>
  <si>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</si>
  <si>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</si>
  <si>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</si>
  <si>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</si>
  <si>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</si>
  <si>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</si>
  <si>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</si>
  <si>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</si>
  <si>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</si>
  <si>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</si>
  <si>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</si>
  <si>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</si>
  <si>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</si>
  <si>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</si>
  <si>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</si>
  <si>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</si>
  <si>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</si>
  <si>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</si>
  <si>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</si>
  <si>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</si>
  <si>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</si>
  <si>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</si>
  <si>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</si>
  <si>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</si>
  <si>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</si>
  <si>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</si>
  <si>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</si>
  <si>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</si>
  <si>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</si>
  <si>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</si>
  <si>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</si>
  <si>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</si>
  <si>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</si>
  <si>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</si>
  <si>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</si>
  <si>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</si>
  <si>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</si>
  <si>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</si>
  <si>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</si>
  <si>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</si>
  <si>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</si>
  <si>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</si>
  <si>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</si>
  <si>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</si>
  <si>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</si>
  <si>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</si>
  <si>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</si>
  <si>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</si>
  <si>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</si>
  <si>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</si>
  <si>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</si>
  <si>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</si>
  <si>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</si>
  <si>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</si>
  <si>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</si>
  <si>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</si>
  <si>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</si>
  <si>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</si>
  <si>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</si>
  <si>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</si>
  <si>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</si>
  <si>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</si>
  <si>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</si>
  <si>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</si>
  <si>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</si>
  <si>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</si>
  <si>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</si>
  <si>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</si>
  <si>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</si>
  <si>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</si>
  <si>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</si>
  <si>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</si>
  <si>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</si>
  <si>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</si>
  <si>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</si>
  <si>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</si>
  <si>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</si>
  <si>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</si>
  <si>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</si>
  <si>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</si>
  <si>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</si>
  <si>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</si>
  <si>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</si>
  <si>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</si>
  <si>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</si>
  <si>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</si>
  <si>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</si>
  <si>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</si>
  <si>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</si>
  <si>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</si>
  <si>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</si>
  <si>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</si>
  <si>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</si>
  <si>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</si>
  <si>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</si>
  <si>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</si>
  <si>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</si>
  <si>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</si>
  <si>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</si>
  <si>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</si>
  <si>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</si>
  <si>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</si>
  <si>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</si>
  <si>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</si>
  <si>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</si>
  <si>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</si>
  <si>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</si>
  <si>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</si>
  <si>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</si>
  <si>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</si>
  <si>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</si>
  <si>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</si>
  <si>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</si>
  <si>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</si>
  <si>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</si>
  <si>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</si>
  <si>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</si>
  <si>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</si>
  <si>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</si>
  <si>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</si>
  <si>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</si>
  <si>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</si>
  <si>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</si>
  <si>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</si>
  <si>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</si>
  <si>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</si>
  <si>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</si>
  <si>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</si>
  <si>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</si>
  <si>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</si>
  <si>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</si>
  <si>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</si>
  <si>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</si>
  <si>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</si>
  <si>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</si>
  <si>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</si>
  <si>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</si>
  <si>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</si>
  <si>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</si>
  <si>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</si>
  <si>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</si>
  <si>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</si>
  <si>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</si>
  <si>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</si>
  <si>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</si>
  <si>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</si>
  <si>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</si>
  <si>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</si>
  <si>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</si>
  <si>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</si>
  <si>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</si>
  <si>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</si>
  <si>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</si>
  <si>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</si>
  <si>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</si>
  <si>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</si>
  <si>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</si>
  <si>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</si>
  <si>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</si>
  <si>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</si>
  <si>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</si>
  <si>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</si>
  <si>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</si>
  <si>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</si>
  <si>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</si>
  <si>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</si>
  <si>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</si>
  <si>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</si>
  <si>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</si>
  <si>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</si>
  <si>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</si>
  <si>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</si>
  <si>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</si>
  <si>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</si>
  <si>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</si>
  <si>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</si>
  <si>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</si>
  <si>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</si>
  <si>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</si>
  <si>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</si>
  <si>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</si>
  <si>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</si>
  <si>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</si>
  <si>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</si>
  <si>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</si>
  <si>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</si>
  <si>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</si>
  <si>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</si>
  <si>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</si>
  <si>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</si>
  <si>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</si>
  <si>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</si>
  <si>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</si>
  <si>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</si>
  <si>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</si>
  <si>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</si>
  <si>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</si>
  <si>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</si>
  <si>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</si>
  <si>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</si>
  <si>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</si>
  <si>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</si>
  <si>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</si>
  <si>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</si>
  <si>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</si>
  <si>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</si>
  <si>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</si>
  <si>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</si>
  <si>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</si>
  <si>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</si>
  <si>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</si>
  <si>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</si>
  <si>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</si>
  <si>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</si>
  <si>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</si>
  <si>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</si>
  <si>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</si>
  <si>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</si>
  <si>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</si>
  <si>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</si>
  <si>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</si>
  <si>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</si>
  <si>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</si>
  <si>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</si>
  <si>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</si>
  <si>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</si>
  <si>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</si>
  <si>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</si>
  <si>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</si>
  <si>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</si>
  <si>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</si>
  <si>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</si>
  <si>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</si>
  <si>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</si>
  <si>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</si>
  <si>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</si>
  <si>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</si>
  <si>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</si>
  <si>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</si>
  <si>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</si>
  <si>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</si>
  <si>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</si>
  <si>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</si>
  <si>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</si>
  <si>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</si>
  <si>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</si>
  <si>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</si>
  <si>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</si>
  <si>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</si>
  <si>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</si>
  <si>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</si>
  <si>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</si>
  <si>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</si>
  <si>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</si>
  <si>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</si>
  <si>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</si>
  <si>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</si>
  <si>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</si>
  <si>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</si>
  <si>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</si>
  <si>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</si>
  <si>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</si>
  <si>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</si>
  <si>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</si>
  <si>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</si>
  <si>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</si>
  <si>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</si>
  <si>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</si>
  <si>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</si>
  <si>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</si>
  <si>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</si>
  <si>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</si>
  <si>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</si>
  <si>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</si>
  <si>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</si>
  <si>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</si>
  <si>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</si>
  <si>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</si>
  <si>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</si>
  <si>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</si>
  <si>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</si>
  <si>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</si>
  <si>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</si>
  <si>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</si>
  <si>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</si>
  <si>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</si>
  <si>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</si>
  <si>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</si>
  <si>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</si>
  <si>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</si>
  <si>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</si>
  <si>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</si>
  <si>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</si>
  <si>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</si>
  <si>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</si>
  <si>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</si>
  <si>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</si>
  <si>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</si>
  <si>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</si>
  <si>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</si>
  <si>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</si>
  <si>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</si>
  <si>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</si>
  <si>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</si>
  <si>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</si>
  <si>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</si>
  <si>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</si>
  <si>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</si>
  <si>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</si>
  <si>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</si>
  <si>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</si>
  <si>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</si>
  <si>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</si>
  <si>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</si>
  <si>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</si>
  <si>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</si>
  <si>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</si>
  <si>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</si>
  <si>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</si>
  <si>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</si>
  <si>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</si>
  <si>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</si>
  <si>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</si>
  <si>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</si>
  <si>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</si>
  <si>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</si>
  <si>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</si>
  <si>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</si>
  <si>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</si>
  <si>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</si>
  <si>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</si>
  <si>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</si>
  <si>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</si>
  <si>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</si>
  <si>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</si>
  <si>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</si>
  <si>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</si>
  <si>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</si>
  <si>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</si>
  <si>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</si>
  <si>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</si>
  <si>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</si>
  <si>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</si>
  <si>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</si>
  <si>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</si>
  <si>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</si>
  <si>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</si>
  <si>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</si>
  <si>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</si>
  <si>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</si>
  <si>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</si>
  <si>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</si>
  <si>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</si>
  <si>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</si>
  <si>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</si>
  <si>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</si>
  <si>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</si>
  <si>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</si>
  <si>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</si>
  <si>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</si>
  <si>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</si>
  <si>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</si>
  <si>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</si>
  <si>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</si>
  <si>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</si>
  <si>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</si>
  <si>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</si>
  <si>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</si>
  <si>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</si>
  <si>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</si>
  <si>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</si>
  <si>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</si>
  <si>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</si>
  <si>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</si>
  <si>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</si>
  <si>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</si>
  <si>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</si>
  <si>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</si>
  <si>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</si>
  <si>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</si>
  <si>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</si>
  <si>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</si>
  <si>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</si>
  <si>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</si>
  <si>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</si>
  <si>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</si>
  <si>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</si>
  <si>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</si>
  <si>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</si>
  <si>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</si>
  <si>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</si>
  <si>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</si>
  <si>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</si>
  <si>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</si>
  <si>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</si>
  <si>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</si>
  <si>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</si>
  <si>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</si>
  <si>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</si>
  <si>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</si>
  <si>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</si>
  <si>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</si>
  <si>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</si>
  <si>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</si>
  <si>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</si>
  <si>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</si>
  <si>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</si>
  <si>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</si>
  <si>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</si>
  <si>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</si>
  <si>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</si>
  <si>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</si>
  <si>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</si>
  <si>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</si>
  <si>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</si>
  <si>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</si>
  <si>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</si>
  <si>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</si>
  <si>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</si>
  <si>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</si>
  <si>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</si>
  <si>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</si>
  <si>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</si>
  <si>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</si>
  <si>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</si>
  <si>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</si>
  <si>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</si>
  <si>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</si>
  <si>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</si>
  <si>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</si>
  <si>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</si>
  <si>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</si>
  <si>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</si>
  <si>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</si>
  <si>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</si>
  <si>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</si>
  <si>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</si>
  <si>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</si>
  <si>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</si>
  <si>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</si>
  <si>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</si>
  <si>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</si>
  <si>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</si>
  <si>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</si>
  <si>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</si>
  <si>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</si>
  <si>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</si>
  <si>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</si>
  <si>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</si>
  <si>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</si>
  <si>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</si>
  <si>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</si>
  <si>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</si>
  <si>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</si>
  <si>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</si>
  <si>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</si>
  <si>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</si>
  <si>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</si>
  <si>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</si>
  <si>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</si>
  <si>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</si>
  <si>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</si>
  <si>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</si>
  <si>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</si>
  <si>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</si>
  <si>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</si>
  <si>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</si>
  <si>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</si>
  <si>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</si>
  <si>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</si>
  <si>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</si>
  <si>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</si>
  <si>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</si>
  <si>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</si>
  <si>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</si>
  <si>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</si>
  <si>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</si>
  <si>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</si>
  <si>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</si>
  <si>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</si>
  <si>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</si>
  <si>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</si>
  <si>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</si>
  <si>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</si>
  <si>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</si>
  <si>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</si>
  <si>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</si>
  <si>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</si>
  <si>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</si>
  <si>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</si>
  <si>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</si>
  <si>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</si>
  <si>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</si>
  <si>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</si>
  <si>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</si>
  <si>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</si>
  <si>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</si>
  <si>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</si>
  <si>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</si>
  <si>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</si>
  <si>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</si>
  <si>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</si>
  <si>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</si>
  <si>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</si>
  <si>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</si>
  <si>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</si>
  <si>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</si>
  <si>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</si>
  <si>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</si>
  <si>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</si>
  <si>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</si>
  <si>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</si>
  <si>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</si>
  <si>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</si>
  <si>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</si>
  <si>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</si>
  <si>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</si>
  <si>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</si>
  <si>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</si>
  <si>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</si>
  <si>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</si>
  <si>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</si>
  <si>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</si>
  <si>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</si>
  <si>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</si>
  <si>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</si>
  <si>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</si>
  <si>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</si>
  <si>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</si>
  <si>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</si>
  <si>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</si>
  <si>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</si>
  <si>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</si>
  <si>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</si>
  <si>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</si>
  <si>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</si>
  <si>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</si>
  <si>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</si>
  <si>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</si>
  <si>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</si>
  <si>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</si>
  <si>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</si>
  <si>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</si>
  <si>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</si>
  <si>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</si>
  <si>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</si>
  <si>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</si>
  <si>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</si>
  <si>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</si>
  <si>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</si>
  <si>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</si>
  <si>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</si>
  <si>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</si>
  <si>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</si>
  <si>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</si>
  <si>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</si>
  <si>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</si>
  <si>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</si>
  <si>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</si>
  <si>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</si>
  <si>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</si>
  <si>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</si>
  <si>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</si>
  <si>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</si>
  <si>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</si>
  <si>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</si>
  <si>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</si>
  <si>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</si>
  <si>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</si>
  <si>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</si>
  <si>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</si>
  <si>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</si>
  <si>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</si>
  <si>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</si>
  <si>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</si>
  <si>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</si>
  <si>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</si>
  <si>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</si>
  <si>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</si>
  <si>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</si>
  <si>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</si>
  <si>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</si>
  <si>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</si>
  <si>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</si>
  <si>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</si>
  <si>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</si>
  <si>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</si>
  <si>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</si>
  <si>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</si>
  <si>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</si>
  <si>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</si>
  <si>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</si>
  <si>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</si>
  <si>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</si>
  <si>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</si>
  <si>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</si>
  <si>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</si>
  <si>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</si>
  <si>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</si>
  <si>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</si>
  <si>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</si>
  <si>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</si>
  <si>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</si>
  <si>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</si>
  <si>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</si>
  <si>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</si>
  <si>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</si>
  <si>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</si>
  <si>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</si>
  <si>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</si>
  <si>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</si>
  <si>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</si>
  <si>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</si>
  <si>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</si>
  <si>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</si>
  <si>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</si>
  <si>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</si>
  <si>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</si>
  <si>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</si>
  <si>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</si>
  <si>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</si>
  <si>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</si>
  <si>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</si>
  <si>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</si>
  <si>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</si>
  <si>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</si>
  <si>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</si>
  <si>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</si>
  <si>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</si>
  <si>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</si>
  <si>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</si>
  <si>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</si>
  <si>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</si>
  <si>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</si>
  <si>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</si>
  <si>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</si>
  <si>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</si>
  <si>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</si>
  <si>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</si>
  <si>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</si>
  <si>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</si>
  <si>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</si>
  <si>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</si>
  <si>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</si>
  <si>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</si>
  <si>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</si>
  <si>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</si>
  <si>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</si>
  <si>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</si>
  <si>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</si>
  <si>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</si>
  <si>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</si>
  <si>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</si>
  <si>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</si>
  <si>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</si>
  <si>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</si>
  <si>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</si>
  <si>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</si>
  <si>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</si>
  <si>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</si>
  <si>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</si>
  <si>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</si>
  <si>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</si>
  <si>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</si>
  <si>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</si>
  <si>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</si>
  <si>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</si>
  <si>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</si>
  <si>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</si>
  <si>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</si>
  <si>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</si>
  <si>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</si>
  <si>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</si>
  <si>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</si>
  <si>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</si>
  <si>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</si>
  <si>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</si>
  <si>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</si>
  <si>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</si>
  <si>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</si>
  <si>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</si>
  <si>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</si>
  <si>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</si>
  <si>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</si>
  <si>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</si>
  <si>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</si>
  <si>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</si>
  <si>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</si>
  <si>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</si>
  <si>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</si>
  <si>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</si>
  <si>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</si>
  <si>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</si>
  <si>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</si>
  <si>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</si>
  <si>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</si>
  <si>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</si>
  <si>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</si>
  <si>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</si>
  <si>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</si>
  <si>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</si>
  <si>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</si>
  <si>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</si>
  <si>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</si>
  <si>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</si>
  <si>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</si>
  <si>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</si>
  <si>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</si>
  <si>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</si>
  <si>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</si>
  <si>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</si>
  <si>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</si>
  <si>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</si>
  <si>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</si>
  <si>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</si>
  <si>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</si>
  <si>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</si>
  <si>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</si>
  <si>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</si>
  <si>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</si>
  <si>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</si>
  <si>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</si>
  <si>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</si>
  <si>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</si>
  <si>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</si>
  <si>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</si>
  <si>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</si>
  <si>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</si>
  <si>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</si>
  <si>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</si>
  <si>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</si>
  <si>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</si>
  <si>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</si>
  <si>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</si>
  <si>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</si>
  <si>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</si>
  <si>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</si>
  <si>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</si>
  <si>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</si>
  <si>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</si>
  <si>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</si>
  <si>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</si>
  <si>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</si>
  <si>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</si>
  <si>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</si>
  <si>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</si>
  <si>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</si>
  <si>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</si>
  <si>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</si>
  <si>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</si>
  <si>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</si>
  <si>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</si>
  <si>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</si>
  <si>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</si>
  <si>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</si>
  <si>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</si>
  <si>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</si>
  <si>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</si>
  <si>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</si>
  <si>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</si>
  <si>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</si>
  <si>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</si>
  <si>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</si>
  <si>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</si>
  <si>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</si>
  <si>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</si>
  <si>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</si>
  <si>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</si>
  <si>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</si>
  <si>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</si>
  <si>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</si>
  <si>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</si>
  <si>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</si>
  <si>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</si>
  <si>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</si>
  <si>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</si>
  <si>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</si>
  <si>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</si>
  <si>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</si>
  <si>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</si>
  <si>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</si>
  <si>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</si>
  <si>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</si>
  <si>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</si>
  <si>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</si>
  <si>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</si>
  <si>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</si>
  <si>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</si>
  <si>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</si>
  <si>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</si>
  <si>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</si>
  <si>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</si>
  <si>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</si>
  <si>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</si>
  <si>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</si>
  <si>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</si>
  <si>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</si>
  <si>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</si>
  <si>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</si>
  <si>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</si>
  <si>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</si>
  <si>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</si>
  <si>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</si>
  <si>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</si>
  <si>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</si>
  <si>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</si>
  <si>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</si>
  <si>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</si>
  <si>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</si>
  <si>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</si>
  <si>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</si>
  <si>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</si>
  <si>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</si>
  <si>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</si>
  <si>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</si>
  <si>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</si>
  <si>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</si>
  <si>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</si>
  <si>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</si>
  <si>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</si>
  <si>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</si>
  <si>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</si>
  <si>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</si>
  <si>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</si>
  <si>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</si>
  <si>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</si>
  <si>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</si>
  <si>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</si>
  <si>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</si>
  <si>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</si>
  <si>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</si>
  <si>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</si>
  <si>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</si>
  <si>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</si>
  <si>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</si>
  <si>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</si>
  <si>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</si>
  <si>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</si>
  <si>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</si>
  <si>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</si>
  <si>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</si>
  <si>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</si>
  <si>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</si>
  <si>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</si>
  <si>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</si>
  <si>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</si>
  <si>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</si>
  <si>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</si>
  <si>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</si>
  <si>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</si>
  <si>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</si>
  <si>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</si>
  <si>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</si>
  <si>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</si>
  <si>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</si>
  <si>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</si>
  <si>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</si>
  <si>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</si>
  <si>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</si>
  <si>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</si>
  <si>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</si>
  <si>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</si>
  <si>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</si>
  <si>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</si>
  <si>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</si>
  <si>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</si>
  <si>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</si>
  <si>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</si>
  <si>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</si>
  <si>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</si>
  <si>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</si>
  <si>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</si>
  <si>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</si>
  <si>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</si>
  <si>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</si>
  <si>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</si>
  <si>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</si>
  <si>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</si>
  <si>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</si>
  <si>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</si>
  <si>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</si>
  <si>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</si>
  <si>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</si>
  <si>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</si>
  <si>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</si>
  <si>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</si>
  <si>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</si>
  <si>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</si>
  <si>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</si>
  <si>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</si>
  <si>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</si>
  <si>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</si>
  <si>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</si>
  <si>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</si>
  <si>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</si>
  <si>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</si>
  <si>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</si>
  <si>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</si>
  <si>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</si>
  <si>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</si>
  <si>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</si>
  <si>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</si>
  <si>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</si>
  <si>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</si>
  <si>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</si>
  <si>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</si>
  <si>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</si>
  <si>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</si>
  <si>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</si>
  <si>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</si>
  <si>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</si>
  <si>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</si>
  <si>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</si>
  <si>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</si>
  <si>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</si>
  <si>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</si>
  <si>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</si>
  <si>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</si>
  <si>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</si>
  <si>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</si>
  <si>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</si>
  <si>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</si>
  <si>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</si>
  <si>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</si>
  <si>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</si>
  <si>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</si>
  <si>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</si>
  <si>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</si>
  <si>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</si>
  <si>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</si>
  <si>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</si>
  <si>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</si>
  <si>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</si>
  <si>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</si>
  <si>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</si>
  <si>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</si>
  <si>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</si>
  <si>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</si>
  <si>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</si>
  <si>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</si>
  <si>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</si>
  <si>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</si>
  <si>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</si>
  <si>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</si>
  <si>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</si>
  <si>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</si>
  <si>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</si>
  <si>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</si>
  <si>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</si>
  <si>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</si>
  <si>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</si>
  <si>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</si>
  <si>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</si>
  <si>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</si>
  <si>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</si>
  <si>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</si>
  <si>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</si>
  <si>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</si>
  <si>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</si>
  <si>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</si>
  <si>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</si>
  <si>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</si>
  <si>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</si>
  <si>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</si>
  <si>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</si>
  <si>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</si>
  <si>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</si>
  <si>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</si>
  <si>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</si>
  <si>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</si>
  <si>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</si>
  <si>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</si>
  <si>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</si>
  <si>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</si>
  <si>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</si>
  <si>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</si>
  <si>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</si>
  <si>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</si>
  <si>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</si>
  <si>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</si>
  <si>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</si>
  <si>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</si>
  <si>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</si>
  <si>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</si>
  <si>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</si>
  <si>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</si>
  <si>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</si>
  <si>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</si>
  <si>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</si>
  <si>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</si>
  <si>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</si>
  <si>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</si>
  <si>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</si>
  <si>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</si>
  <si>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</si>
  <si>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</si>
  <si>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</si>
  <si>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</si>
  <si>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</si>
  <si>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</si>
  <si>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</si>
  <si>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</si>
  <si>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</si>
  <si>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</si>
  <si>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</si>
  <si>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</si>
  <si>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</si>
  <si>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</si>
  <si>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</si>
  <si>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</si>
  <si>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</si>
  <si>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</si>
  <si>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</si>
  <si>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</si>
  <si>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</si>
  <si>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</si>
  <si>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</si>
  <si>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</si>
  <si>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</si>
  <si>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</si>
  <si>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</si>
  <si>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</si>
  <si>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</si>
  <si>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</si>
  <si>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</si>
  <si>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</si>
  <si>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</si>
  <si>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</si>
  <si>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</si>
  <si>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</si>
  <si>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</si>
  <si>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</si>
  <si>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</si>
  <si>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</si>
  <si>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</si>
  <si>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</si>
  <si>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</si>
  <si>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</si>
  <si>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</si>
  <si>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</si>
  <si>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</si>
  <si>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</si>
  <si>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</si>
  <si>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</si>
  <si>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</si>
  <si>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</si>
  <si>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</si>
  <si>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</si>
  <si>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</si>
  <si>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</si>
  <si>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</si>
  <si>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</si>
  <si>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</si>
  <si>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</si>
  <si>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</si>
  <si>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</si>
  <si>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</si>
  <si>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</si>
  <si>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</si>
  <si>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</si>
  <si>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</si>
  <si>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</si>
  <si>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</si>
  <si>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</si>
  <si>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</si>
  <si>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</si>
  <si>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</si>
  <si>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</si>
  <si>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</si>
  <si>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</si>
  <si>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</si>
  <si>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</si>
  <si>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</si>
  <si>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</si>
  <si>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</si>
  <si>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</si>
  <si>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</si>
  <si>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</si>
  <si>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</si>
  <si>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</si>
  <si>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</si>
  <si>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</si>
  <si>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</si>
  <si>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</si>
  <si>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</si>
  <si>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</si>
  <si>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</si>
  <si>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</si>
  <si>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</si>
  <si>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</si>
  <si>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</si>
  <si>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</si>
  <si>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</si>
  <si>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</si>
  <si>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</si>
  <si>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</si>
  <si>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</si>
  <si>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</si>
  <si>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</si>
  <si>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</si>
  <si>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</si>
  <si>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</si>
  <si>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</si>
  <si>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</si>
  <si>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</si>
  <si>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</si>
  <si>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</si>
  <si>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</si>
  <si>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</si>
  <si>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</si>
  <si>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</si>
  <si>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</si>
  <si>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</si>
  <si>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</si>
  <si>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</si>
  <si>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</si>
  <si>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</si>
  <si>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</si>
  <si>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</si>
  <si>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</si>
  <si>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</si>
  <si>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</si>
  <si>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</si>
  <si>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</si>
  <si>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</si>
  <si>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</si>
  <si>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</si>
  <si>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</si>
  <si>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</si>
  <si>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</si>
  <si>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</si>
  <si>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</si>
  <si>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</si>
  <si>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</si>
  <si>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</si>
  <si>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</si>
  <si>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</si>
  <si>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</si>
  <si>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</si>
  <si>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</si>
  <si>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</si>
  <si>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</si>
  <si>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</si>
  <si>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</si>
  <si>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</si>
  <si>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</si>
  <si>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</si>
  <si>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</si>
  <si>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</si>
  <si>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</si>
  <si>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</si>
  <si>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</si>
  <si>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</si>
  <si>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</si>
  <si>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</si>
  <si>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</si>
  <si>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</si>
  <si>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</si>
  <si>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</si>
  <si>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</si>
  <si>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</si>
  <si>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</si>
  <si>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</si>
  <si>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</si>
  <si>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</si>
  <si>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</si>
  <si>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</si>
  <si>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</si>
  <si>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</si>
  <si>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</si>
  <si>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</si>
  <si>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</si>
  <si>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</si>
  <si>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</si>
  <si>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</si>
  <si>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</si>
  <si>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</si>
  <si>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</si>
  <si>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</si>
  <si>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</si>
  <si>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</si>
  <si>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</si>
  <si>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</si>
  <si>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</si>
  <si>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</si>
  <si>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</si>
  <si>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</si>
  <si>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</si>
  <si>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</si>
  <si>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</si>
  <si>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</si>
  <si>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</si>
  <si>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</si>
  <si>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</si>
  <si>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</si>
  <si>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</si>
  <si>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</si>
  <si>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</si>
  <si>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</si>
  <si>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</si>
  <si>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</si>
  <si>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</si>
  <si>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</si>
  <si>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</si>
  <si>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</si>
  <si>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</si>
  <si>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</si>
  <si>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</si>
  <si>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</si>
  <si>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</si>
  <si>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</si>
  <si>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</si>
  <si>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</si>
  <si>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</si>
  <si>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</si>
  <si>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</si>
  <si>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</si>
  <si>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</si>
  <si>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</si>
  <si>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</si>
  <si>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</si>
  <si>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</si>
  <si>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</si>
  <si>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</si>
  <si>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</si>
  <si>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</si>
  <si>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</si>
  <si>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</si>
  <si>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</si>
  <si>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</si>
  <si>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</si>
  <si>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</si>
  <si>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</si>
  <si>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</si>
  <si>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</si>
  <si>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</si>
  <si>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</si>
  <si>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</si>
  <si>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</si>
  <si>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</si>
  <si>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</si>
  <si>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</si>
  <si>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</si>
  <si>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</si>
  <si>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</si>
  <si>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</si>
  <si>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</si>
  <si>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</si>
  <si>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</si>
  <si>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</si>
  <si>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</si>
  <si>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</si>
  <si>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</si>
  <si>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</si>
  <si>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</si>
  <si>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</si>
  <si>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</si>
  <si>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</si>
  <si>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</si>
  <si>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</si>
  <si>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</si>
  <si>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</si>
  <si>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</si>
  <si>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</si>
  <si>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</si>
  <si>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</si>
  <si>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</si>
  <si>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</si>
  <si>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</si>
  <si>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</si>
  <si>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</si>
  <si>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</si>
  <si>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</si>
  <si>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</si>
  <si>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</si>
  <si>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</si>
  <si>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</si>
  <si>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</si>
  <si>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</si>
  <si>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</si>
  <si>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</si>
  <si>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</si>
  <si>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</si>
  <si>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</si>
  <si>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</si>
  <si>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</si>
  <si>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</si>
  <si>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</si>
  <si>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</si>
  <si>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</si>
  <si>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</si>
  <si>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</si>
  <si>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</si>
  <si>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</si>
  <si>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</si>
  <si>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</si>
  <si>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</si>
  <si>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</si>
  <si>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</si>
  <si>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</si>
  <si>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</si>
  <si>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</si>
  <si>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</si>
  <si>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</si>
  <si>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</si>
  <si>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</si>
  <si>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</si>
  <si>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</si>
  <si>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</si>
  <si>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</si>
  <si>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</si>
  <si>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</si>
  <si>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</si>
  <si>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</si>
  <si>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</si>
  <si>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</si>
  <si>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</si>
  <si>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</si>
  <si>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</si>
  <si>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</si>
  <si>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</si>
  <si>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</si>
  <si>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</si>
  <si>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</si>
  <si>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</si>
  <si>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</si>
  <si>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</si>
  <si>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</si>
  <si>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</si>
  <si>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</si>
  <si>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</si>
  <si>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</si>
  <si>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</si>
  <si>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</si>
  <si>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</si>
  <si>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</si>
  <si>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</si>
  <si>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</si>
  <si>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</si>
  <si>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</si>
  <si>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</si>
  <si>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</si>
  <si>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</si>
  <si>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</si>
  <si>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</si>
  <si>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</si>
  <si>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</si>
  <si>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</si>
  <si>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</si>
  <si>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</si>
  <si>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</si>
  <si>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</si>
  <si>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</si>
  <si>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</si>
  <si>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</si>
  <si>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</si>
  <si>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</si>
  <si>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</si>
  <si>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</si>
  <si>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</si>
  <si>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</si>
  <si>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</si>
  <si>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</si>
  <si>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</si>
  <si>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</si>
  <si>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</si>
  <si>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</si>
  <si>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</si>
  <si>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</si>
  <si>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</si>
  <si>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</si>
  <si>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</si>
  <si>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</si>
  <si>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</si>
  <si>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</si>
  <si>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</si>
  <si>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</si>
  <si>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</si>
  <si>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</si>
  <si>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</si>
  <si>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</si>
  <si>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</si>
  <si>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</si>
  <si>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</si>
  <si>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</si>
  <si>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</si>
  <si>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</si>
  <si>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</si>
  <si>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</si>
  <si>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</si>
  <si>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</si>
  <si>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</si>
  <si>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</si>
  <si>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</si>
  <si>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</si>
  <si>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</si>
  <si>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</si>
  <si>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</si>
  <si>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</si>
  <si>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</si>
  <si>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</si>
  <si>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</si>
  <si>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</si>
  <si>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</si>
  <si>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</si>
  <si>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</si>
  <si>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</si>
  <si>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</si>
  <si>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</si>
  <si>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</si>
  <si>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</si>
  <si>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</si>
  <si>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</si>
  <si>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</si>
  <si>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</si>
  <si>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</si>
  <si>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</si>
  <si>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</si>
  <si>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</si>
  <si>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</si>
  <si>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</si>
  <si>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</si>
  <si>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</si>
  <si>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</si>
  <si>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</si>
  <si>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</si>
  <si>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</si>
  <si>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</si>
  <si>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</si>
  <si>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</si>
  <si>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</si>
  <si>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</si>
  <si>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</si>
  <si>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</si>
  <si>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</si>
  <si>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</si>
  <si>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</si>
  <si>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</si>
  <si>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</si>
  <si>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</si>
  <si>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</si>
  <si>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</si>
  <si>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</si>
  <si>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</si>
  <si>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</si>
  <si>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</si>
  <si>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</si>
  <si>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</si>
  <si>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</si>
  <si>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</si>
  <si>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</si>
  <si>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</si>
  <si>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</si>
  <si>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</si>
  <si>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</si>
  <si>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</si>
  <si>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</si>
  <si>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</si>
  <si>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</si>
  <si>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</si>
  <si>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</si>
  <si>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</si>
  <si>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</si>
  <si>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</si>
  <si>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</si>
  <si>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</si>
  <si>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</si>
  <si>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</si>
  <si>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</si>
  <si>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</si>
  <si>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</si>
  <si>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</si>
  <si>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</si>
  <si>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</si>
  <si>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</si>
  <si>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</si>
  <si>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</si>
  <si>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</si>
  <si>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</si>
  <si>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</si>
  <si>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</si>
  <si>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</si>
  <si>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</si>
  <si>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</si>
  <si>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</si>
  <si>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</si>
  <si>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</si>
  <si>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</si>
  <si>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</si>
  <si>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</si>
  <si>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</si>
  <si>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</si>
  <si>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</si>
  <si>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</si>
  <si>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</si>
  <si>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</si>
  <si>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</si>
  <si>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</si>
  <si>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</si>
  <si>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</si>
  <si>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</si>
  <si>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</si>
  <si>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</si>
  <si>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</si>
  <si>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</si>
  <si>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</si>
  <si>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</si>
  <si>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</si>
  <si>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</si>
  <si>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</si>
  <si>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</si>
  <si>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</si>
  <si>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</si>
  <si>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</si>
  <si>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</si>
  <si>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</si>
  <si>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</si>
  <si>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</si>
  <si>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</si>
  <si>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</si>
  <si>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</si>
  <si>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</si>
  <si>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</si>
  <si>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</si>
  <si>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</si>
  <si>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</si>
  <si>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</si>
  <si>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</si>
  <si>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</si>
  <si>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</si>
  <si>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</si>
  <si>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</si>
  <si>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</si>
  <si>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</si>
  <si>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</si>
  <si>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</si>
  <si>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</si>
  <si>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</si>
  <si>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</si>
  <si>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</si>
  <si>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</si>
  <si>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</si>
  <si>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</si>
  <si>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</si>
  <si>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</si>
  <si>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</si>
  <si>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</si>
  <si>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</si>
  <si>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</si>
  <si>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</si>
  <si>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</si>
  <si>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</si>
  <si>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</si>
  <si>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</si>
  <si>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</si>
  <si>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</si>
  <si>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</si>
  <si>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</si>
  <si>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</si>
  <si>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</si>
  <si>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</si>
  <si>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</si>
  <si>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</si>
  <si>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</si>
  <si>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</si>
  <si>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</si>
  <si>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</si>
  <si>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</si>
  <si>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</si>
  <si>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</si>
  <si>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</si>
  <si>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</si>
  <si>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</si>
  <si>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</si>
  <si>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</si>
  <si>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</si>
  <si>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</si>
  <si>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</si>
  <si>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</si>
  <si>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</si>
  <si>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</si>
  <si>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</si>
  <si>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</si>
  <si>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</si>
  <si>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</si>
  <si>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</si>
  <si>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</si>
  <si>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</si>
  <si>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</si>
  <si>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</si>
  <si>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</si>
  <si>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</si>
  <si>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</si>
  <si>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</si>
  <si>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</si>
  <si>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</si>
  <si>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</si>
  <si>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</si>
  <si>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</si>
  <si>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</si>
  <si>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</si>
  <si>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</si>
  <si>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</si>
  <si>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</si>
  <si>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</si>
  <si>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</si>
  <si>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</si>
  <si>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</si>
  <si>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</si>
  <si>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</si>
  <si>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</si>
  <si>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</si>
  <si>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</si>
  <si>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</si>
  <si>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</si>
  <si>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</si>
  <si>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</si>
  <si>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</si>
  <si>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</si>
  <si>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</si>
  <si>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</si>
  <si>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</si>
  <si>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</si>
  <si>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</si>
  <si>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</si>
  <si>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</si>
  <si>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</si>
  <si>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</si>
  <si>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</si>
  <si>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</si>
  <si>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</si>
  <si>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</si>
  <si>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</si>
  <si>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</si>
  <si>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</si>
  <si>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</si>
  <si>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</si>
  <si>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</si>
  <si>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</si>
  <si>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</si>
  <si>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</si>
  <si>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</si>
  <si>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</si>
  <si>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</si>
  <si>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</si>
  <si>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</si>
  <si>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</si>
  <si>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</si>
  <si>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</si>
  <si>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</si>
  <si>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</si>
  <si>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</si>
  <si>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</si>
  <si>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</si>
  <si>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</si>
  <si>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</si>
  <si>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</si>
  <si>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</si>
  <si>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</si>
  <si>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</si>
  <si>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</si>
  <si>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</si>
  <si>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</si>
  <si>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</si>
  <si>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</si>
  <si>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</si>
  <si>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</si>
  <si>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</si>
  <si>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</si>
  <si>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</si>
  <si>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</si>
  <si>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</si>
  <si>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</si>
  <si>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</si>
  <si>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</si>
  <si>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</si>
  <si>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</si>
  <si>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</si>
  <si>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</si>
  <si>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</si>
  <si>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</si>
  <si>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</si>
  <si>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</si>
  <si>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</si>
  <si>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</si>
  <si>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</si>
  <si>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</si>
  <si>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</si>
  <si>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</si>
  <si>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</si>
  <si>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</si>
  <si>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</si>
  <si>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</si>
  <si>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</si>
  <si>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</si>
  <si>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</si>
  <si>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</si>
  <si>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</si>
  <si>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</si>
  <si>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</si>
  <si>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</si>
  <si>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</si>
  <si>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</si>
  <si>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</si>
  <si>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</si>
  <si>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</si>
  <si>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</si>
  <si>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</si>
  <si>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</si>
  <si>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</si>
  <si>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</si>
  <si>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</si>
  <si>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</si>
  <si>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</si>
  <si>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</si>
  <si>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</si>
  <si>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</si>
  <si>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</si>
  <si>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</si>
  <si>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</si>
  <si>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</si>
  <si>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</si>
  <si>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</si>
  <si>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</si>
  <si>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</si>
  <si>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</si>
  <si>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</si>
  <si>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</si>
  <si>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</si>
  <si>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</si>
  <si>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</si>
  <si>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</si>
  <si>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</si>
  <si>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</si>
  <si>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</si>
  <si>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</si>
  <si>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</si>
  <si>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</si>
  <si>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</si>
  <si>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</si>
  <si>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</si>
  <si>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</si>
  <si>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</si>
  <si>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</si>
  <si>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</si>
  <si>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</si>
  <si>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</si>
  <si>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</si>
  <si>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</si>
  <si>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</si>
  <si>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</si>
  <si>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</si>
  <si>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</si>
  <si>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</si>
  <si>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</si>
  <si>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</si>
  <si>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</si>
  <si>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</si>
  <si>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</si>
  <si>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</si>
  <si>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</si>
  <si>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</si>
  <si>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</si>
  <si>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</si>
  <si>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</si>
  <si>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</si>
  <si>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</si>
  <si>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</si>
  <si>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</si>
  <si>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</si>
  <si>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</si>
  <si>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</si>
  <si>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</si>
  <si>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</si>
  <si>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</si>
  <si>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</si>
  <si>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</si>
  <si>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</si>
  <si>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</si>
  <si>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</si>
  <si>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</si>
  <si>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</si>
  <si>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</si>
  <si>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</si>
  <si>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</si>
  <si>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</si>
  <si>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</si>
  <si>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</si>
  <si>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</si>
  <si>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</si>
  <si>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</si>
  <si>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</si>
  <si>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</si>
  <si>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</si>
  <si>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</si>
  <si>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</si>
  <si>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</si>
  <si>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</si>
  <si>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</si>
  <si>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</si>
  <si>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</si>
  <si>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</si>
  <si>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</si>
  <si>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</si>
  <si>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</si>
  <si>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</si>
  <si>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</si>
  <si>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</si>
  <si>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</si>
  <si>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</si>
  <si>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</si>
  <si>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</si>
  <si>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</si>
  <si>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</si>
  <si>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</si>
  <si>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</si>
  <si>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</si>
  <si>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</si>
  <si>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</si>
  <si>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</si>
  <si>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</si>
  <si>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</si>
  <si>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</si>
  <si>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</si>
  <si>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</si>
  <si>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</si>
  <si>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</si>
  <si>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</si>
  <si>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</si>
  <si>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</si>
  <si>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</si>
  <si>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</si>
  <si>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</si>
  <si>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</si>
  <si>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</si>
  <si>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</si>
  <si>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</si>
  <si>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</si>
  <si>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</si>
  <si>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</si>
  <si>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</si>
  <si>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</si>
  <si>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</si>
  <si>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</si>
  <si>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</si>
  <si>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</si>
  <si>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</si>
  <si>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</si>
  <si>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</si>
  <si>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</si>
  <si>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</si>
  <si>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</si>
  <si>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</si>
  <si>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</si>
  <si>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</si>
  <si>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</si>
  <si>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</si>
  <si>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</si>
  <si>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</si>
  <si>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</si>
  <si>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</si>
  <si>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</si>
  <si>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</si>
  <si>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</si>
  <si>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</si>
  <si>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</si>
  <si>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</si>
  <si>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</si>
  <si>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</si>
  <si>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</si>
  <si>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</si>
  <si>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</si>
  <si>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</si>
  <si>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</si>
  <si>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</si>
  <si>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</si>
  <si>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</si>
  <si>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</si>
  <si>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</si>
  <si>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</si>
  <si>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</si>
  <si>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</si>
  <si>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</si>
  <si>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</si>
  <si>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</si>
  <si>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</si>
  <si>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</si>
  <si>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</si>
  <si>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</si>
  <si>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</si>
  <si>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</si>
  <si>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</si>
  <si>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</si>
  <si>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</si>
  <si>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</si>
  <si>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</si>
  <si>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</si>
  <si>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</si>
  <si>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</si>
  <si>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</si>
  <si>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</si>
  <si>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</si>
  <si>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</si>
  <si>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</si>
  <si>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</si>
  <si>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</si>
  <si>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</si>
  <si>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</si>
  <si>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</si>
  <si>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</si>
  <si>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</si>
  <si>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</si>
  <si>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</si>
  <si>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</si>
  <si>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</si>
  <si>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</si>
  <si>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</si>
  <si>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</si>
  <si>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</si>
  <si>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</si>
  <si>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</si>
  <si>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</si>
  <si>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</si>
  <si>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</si>
  <si>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</si>
  <si>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</si>
  <si>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</si>
  <si>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</si>
  <si>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</si>
  <si>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</si>
  <si>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</si>
  <si>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</si>
  <si>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</si>
  <si>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</si>
  <si>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</si>
  <si>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</si>
  <si>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</si>
  <si>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</si>
  <si>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</si>
  <si>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</si>
  <si>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</si>
  <si>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</si>
  <si>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</si>
  <si>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</si>
  <si>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</si>
  <si>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</si>
  <si>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</si>
  <si>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</si>
  <si>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</si>
  <si>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</si>
  <si>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</si>
  <si>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</si>
  <si>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</si>
  <si>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</si>
  <si>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</si>
  <si>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</si>
  <si>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</si>
  <si>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</si>
  <si>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</si>
  <si>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</si>
  <si>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</si>
  <si>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</si>
  <si>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</si>
  <si>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</si>
  <si>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</si>
  <si>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</si>
  <si>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</si>
  <si>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</si>
  <si>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</si>
  <si>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</si>
  <si>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</si>
  <si>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</si>
  <si>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</si>
  <si>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</si>
  <si>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</si>
  <si>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</si>
  <si>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</si>
  <si>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</si>
  <si>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</si>
  <si>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</si>
  <si>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</si>
  <si>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</si>
  <si>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</si>
  <si>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</si>
  <si>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</si>
  <si>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</si>
  <si>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</si>
  <si>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</si>
  <si>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</si>
  <si>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</si>
  <si>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</si>
  <si>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</si>
  <si>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</si>
  <si>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</si>
  <si>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</si>
  <si>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</si>
  <si>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</si>
  <si>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</si>
  <si>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</si>
  <si>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</si>
  <si>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</si>
  <si>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</si>
  <si>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</si>
  <si>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</si>
  <si>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</si>
  <si>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</si>
  <si>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</si>
  <si>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</si>
  <si>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</si>
  <si>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</si>
  <si>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</si>
  <si>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</si>
  <si>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</si>
  <si>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</si>
  <si>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</si>
  <si>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</si>
  <si>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</si>
  <si>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</si>
  <si>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</si>
  <si>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</si>
  <si>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</si>
  <si>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</si>
  <si>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</si>
  <si>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</si>
  <si>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</si>
  <si>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</si>
  <si>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</si>
  <si>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</si>
  <si>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</si>
  <si>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</si>
  <si>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</si>
  <si>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</si>
  <si>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</si>
  <si>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</si>
  <si>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</si>
  <si>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</si>
  <si>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</si>
  <si>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</si>
  <si>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</si>
  <si>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</si>
  <si>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</si>
  <si>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</si>
  <si>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</si>
  <si>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</si>
  <si>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</si>
  <si>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</si>
  <si>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</si>
  <si>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</si>
  <si>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</si>
  <si>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</si>
  <si>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</si>
  <si>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</si>
  <si>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</si>
  <si>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</si>
  <si>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</si>
  <si>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</si>
  <si>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</si>
  <si>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</si>
  <si>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</si>
  <si>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</si>
  <si>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</si>
  <si>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</si>
  <si>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</si>
  <si>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</si>
  <si>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</si>
  <si>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</si>
  <si>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</si>
  <si>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</si>
  <si>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</si>
  <si>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</si>
  <si>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</si>
  <si>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</si>
  <si>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</si>
  <si>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</si>
  <si>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</si>
  <si>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</si>
  <si>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</si>
  <si>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</si>
  <si>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</si>
  <si>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</si>
  <si>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</si>
  <si>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</si>
  <si>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</si>
  <si>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</si>
  <si>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</si>
  <si>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</si>
  <si>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</si>
  <si>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</si>
  <si>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</si>
  <si>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</si>
  <si>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</si>
  <si>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</si>
  <si>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</si>
  <si>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</si>
  <si>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</si>
  <si>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</si>
  <si>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</si>
  <si>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</si>
  <si>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</si>
  <si>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</si>
  <si>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</si>
  <si>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</si>
  <si>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</si>
  <si>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</si>
  <si>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</si>
  <si>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</si>
  <si>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</si>
  <si>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</si>
  <si>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</si>
  <si>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</si>
  <si>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</si>
  <si>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</si>
  <si>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</si>
  <si>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</si>
  <si>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</si>
  <si>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</si>
  <si>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</si>
  <si>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</si>
  <si>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</si>
  <si>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</si>
  <si>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</si>
  <si>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</si>
  <si>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</si>
  <si>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</si>
  <si>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</si>
  <si>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</si>
  <si>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</si>
  <si>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</si>
  <si>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</si>
  <si>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</si>
  <si>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</si>
  <si>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</si>
  <si>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</si>
  <si>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</si>
  <si>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</si>
  <si>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</si>
  <si>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</si>
  <si>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</si>
  <si>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</si>
  <si>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</si>
  <si>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</si>
  <si>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</si>
  <si>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</si>
  <si>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</si>
  <si>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</si>
  <si>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</si>
  <si>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</si>
  <si>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</si>
  <si>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</si>
  <si>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</si>
  <si>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</si>
  <si>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</si>
  <si>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</si>
  <si>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</si>
  <si>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</si>
  <si>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</si>
  <si>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</si>
  <si>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</si>
  <si>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</si>
  <si>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</si>
  <si>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</si>
  <si>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</si>
  <si>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</si>
  <si>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</si>
  <si>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</si>
  <si>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</si>
  <si>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</si>
  <si>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</si>
  <si>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</si>
  <si>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</si>
  <si>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</si>
  <si>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</si>
  <si>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</si>
  <si>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</si>
  <si>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</si>
  <si>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</si>
  <si>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</si>
  <si>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</si>
  <si>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</si>
  <si>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</si>
  <si>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</si>
  <si>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</si>
  <si>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</si>
  <si>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</si>
  <si>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</si>
  <si>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</si>
  <si>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</si>
  <si>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</si>
  <si>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</si>
  <si>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</si>
  <si>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</si>
  <si>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</si>
  <si>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</si>
  <si>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</si>
  <si>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</si>
  <si>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</si>
  <si>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</si>
  <si>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</si>
  <si>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</si>
  <si>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</si>
  <si>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</si>
  <si>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</si>
  <si>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</si>
  <si>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</si>
  <si>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</si>
  <si>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</si>
  <si>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</si>
  <si>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</si>
  <si>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</si>
  <si>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</si>
  <si>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</si>
  <si>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</si>
  <si>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</si>
  <si>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</si>
  <si>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</si>
  <si>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</si>
  <si>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</si>
  <si>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</si>
  <si>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</si>
  <si>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</si>
  <si>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</si>
  <si>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</si>
  <si>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</si>
  <si>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</si>
  <si>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</si>
  <si>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</si>
  <si>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</si>
  <si>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</si>
  <si>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</si>
  <si>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</si>
  <si>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</si>
  <si>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</si>
  <si>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</si>
  <si>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</si>
  <si>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</si>
  <si>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</si>
  <si>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</si>
  <si>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</si>
  <si>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</si>
  <si>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</si>
  <si>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</si>
  <si>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</si>
  <si>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</si>
  <si>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</si>
  <si>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</si>
  <si>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</si>
  <si>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</si>
  <si>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</si>
  <si>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</si>
  <si>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</si>
  <si>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</si>
  <si>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</si>
  <si>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</si>
  <si>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</si>
  <si>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</si>
  <si>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</si>
  <si>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</si>
  <si>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</si>
  <si>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</si>
  <si>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</si>
  <si>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</si>
  <si>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</si>
  <si>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</si>
  <si>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</si>
  <si>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</si>
  <si>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</si>
  <si>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</si>
  <si>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</si>
  <si>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</si>
  <si>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</si>
  <si>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</si>
  <si>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</si>
  <si>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</si>
  <si>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</si>
  <si>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</si>
  <si>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</si>
  <si>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</si>
  <si>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</si>
  <si>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</si>
  <si>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</si>
  <si>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</si>
  <si>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</si>
  <si>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</si>
  <si>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</si>
  <si>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</si>
  <si>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</si>
  <si>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</si>
  <si>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</si>
  <si>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</si>
  <si>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</si>
  <si>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</si>
  <si>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</si>
  <si>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</si>
  <si>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</si>
  <si>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</si>
  <si>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</si>
  <si>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</si>
  <si>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</si>
  <si>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</si>
  <si>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</si>
  <si>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</si>
  <si>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</si>
  <si>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</si>
  <si>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</si>
  <si>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</si>
  <si>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</si>
  <si>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</si>
  <si>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</si>
  <si>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</si>
  <si>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</si>
  <si>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</si>
  <si>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</si>
  <si>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</si>
  <si>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</si>
  <si>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</si>
  <si>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</si>
  <si>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</si>
  <si>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</si>
  <si>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</si>
  <si>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</si>
  <si>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</si>
  <si>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</si>
  <si>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</si>
  <si>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</si>
  <si>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</si>
  <si>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</si>
  <si>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</si>
  <si>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</si>
  <si>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</si>
  <si>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</si>
  <si>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</si>
  <si>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</si>
  <si>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</si>
  <si>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</si>
  <si>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</si>
  <si>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</si>
  <si>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</si>
  <si>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</si>
  <si>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</si>
  <si>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</si>
  <si>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</si>
  <si>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</si>
  <si>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</si>
  <si>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</si>
  <si>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</si>
  <si>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</si>
  <si>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</si>
  <si>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</si>
  <si>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</si>
  <si>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</si>
  <si>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</si>
  <si>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</si>
  <si>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</si>
  <si>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</si>
  <si>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</si>
  <si>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</si>
  <si>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</si>
  <si>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</si>
  <si>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</si>
  <si>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</si>
  <si>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</si>
  <si>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</si>
  <si>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</si>
  <si>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</si>
  <si>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</si>
  <si>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</si>
  <si>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</si>
  <si>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</si>
  <si>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</si>
  <si>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</si>
  <si>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</si>
  <si>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</si>
  <si>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</si>
  <si>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</si>
  <si>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</si>
  <si>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</si>
  <si>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</si>
  <si>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</si>
  <si>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</si>
  <si>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</si>
  <si>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</si>
  <si>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</si>
  <si>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</si>
  <si>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</si>
  <si>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</si>
  <si>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</si>
  <si>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</si>
  <si>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</si>
  <si>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</si>
  <si>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</si>
  <si>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</si>
  <si>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</si>
  <si>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</si>
  <si>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</si>
  <si>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</si>
  <si>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</si>
  <si>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</si>
  <si>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</si>
  <si>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</si>
  <si>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</si>
  <si>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</si>
  <si>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</si>
  <si>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</si>
  <si>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</si>
  <si>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</si>
  <si>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</si>
  <si>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</si>
  <si>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</si>
  <si>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</si>
  <si>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</si>
  <si>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</si>
  <si>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</si>
  <si>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</si>
  <si>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</si>
  <si>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</si>
  <si>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</si>
  <si>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</si>
  <si>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</si>
  <si>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</si>
  <si>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</si>
  <si>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</si>
  <si>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</si>
  <si>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</si>
  <si>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</si>
  <si>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</si>
  <si>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</si>
  <si>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</si>
  <si>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</si>
  <si>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</si>
  <si>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</si>
  <si>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</si>
  <si>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</si>
  <si>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</si>
  <si>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</si>
  <si>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</si>
  <si>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</si>
  <si>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</si>
  <si>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</si>
  <si>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</si>
  <si>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</si>
  <si>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</si>
  <si>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</si>
  <si>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</si>
  <si>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</si>
  <si>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</si>
  <si>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</si>
  <si>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</si>
  <si>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</si>
  <si>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</si>
  <si>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</si>
  <si>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</si>
  <si>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</si>
  <si>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</si>
  <si>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</si>
  <si>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</si>
  <si>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</si>
  <si>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</si>
  <si>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</si>
  <si>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</si>
  <si>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</si>
  <si>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</si>
  <si>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</si>
  <si>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</si>
  <si>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</si>
  <si>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</si>
  <si>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</si>
  <si>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</si>
  <si>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</si>
  <si>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</si>
  <si>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</si>
  <si>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</si>
  <si>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</si>
  <si>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</si>
  <si>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</si>
  <si>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</si>
  <si>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</si>
  <si>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</si>
  <si>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</si>
  <si>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</si>
  <si>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</si>
  <si>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</si>
  <si>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</si>
  <si>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</si>
  <si>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</si>
  <si>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</si>
  <si>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</si>
  <si>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</si>
  <si>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</si>
  <si>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</si>
  <si>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</si>
  <si>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</si>
  <si>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</si>
  <si>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</si>
  <si>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</si>
  <si>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</si>
  <si>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</si>
  <si>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</si>
  <si>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</si>
  <si>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</si>
  <si>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</si>
  <si>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</si>
  <si>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</si>
  <si>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</si>
  <si>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</si>
  <si>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</si>
  <si>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</si>
  <si>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</si>
  <si>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</si>
  <si>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</si>
  <si>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</si>
  <si>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</si>
  <si>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</si>
  <si>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</si>
  <si>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</si>
  <si>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</si>
  <si>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</si>
  <si>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</si>
  <si>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</si>
  <si>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</si>
  <si>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</si>
  <si>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</si>
  <si>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</si>
  <si>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</si>
  <si>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</si>
  <si>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</si>
  <si>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</si>
  <si>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</si>
  <si>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</si>
  <si>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</si>
  <si>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</si>
  <si>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</si>
  <si>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</si>
  <si>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</si>
  <si>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</si>
  <si>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</si>
  <si>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</si>
  <si>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</si>
  <si>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</si>
  <si>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</si>
  <si>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</si>
  <si>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</si>
  <si>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</si>
  <si>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</si>
  <si>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</si>
  <si>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</si>
  <si>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</si>
  <si>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</si>
  <si>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</si>
  <si>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</si>
  <si>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</si>
  <si>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</si>
  <si>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</si>
  <si>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</si>
  <si>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</si>
  <si>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</si>
  <si>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</si>
  <si>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</si>
  <si>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</si>
  <si>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</si>
  <si>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</si>
  <si>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</si>
  <si>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</si>
  <si>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</si>
  <si>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</si>
  <si>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</si>
  <si>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</si>
  <si>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</si>
  <si>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</si>
  <si>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</si>
  <si>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</si>
  <si>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</si>
  <si>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</si>
  <si>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</si>
  <si>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</si>
  <si>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</si>
  <si>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</si>
  <si>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</si>
  <si>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</si>
  <si>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</si>
  <si>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</si>
  <si>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</si>
  <si>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</si>
  <si>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</si>
  <si>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</si>
  <si>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</si>
  <si>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</si>
  <si>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</si>
  <si>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</si>
  <si>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</si>
  <si>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</si>
  <si>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</si>
  <si>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</si>
  <si>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</si>
  <si>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</si>
  <si>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</si>
  <si>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</si>
  <si>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</si>
  <si>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</si>
  <si>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</si>
  <si>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</si>
  <si>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</si>
  <si>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</si>
  <si>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</si>
  <si>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</si>
  <si>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</si>
  <si>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</si>
  <si>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</si>
  <si>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</si>
  <si>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</si>
  <si>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</si>
  <si>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</si>
  <si>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</si>
  <si>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</si>
  <si>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</si>
  <si>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</si>
  <si>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</si>
  <si>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</si>
  <si>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</si>
  <si>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</si>
  <si>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</si>
  <si>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</si>
  <si>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</si>
  <si>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</si>
  <si>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</si>
  <si>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</si>
  <si>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</si>
  <si>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</si>
  <si>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</si>
  <si>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</si>
  <si>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</si>
  <si>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</si>
  <si>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</si>
  <si>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</si>
  <si>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</si>
  <si>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</si>
  <si>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</si>
  <si>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</si>
  <si>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</si>
  <si>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</si>
  <si>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</si>
  <si>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</si>
  <si>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</si>
  <si>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</si>
  <si>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</si>
  <si>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</si>
  <si>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</si>
  <si>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</si>
  <si>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</si>
  <si>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</si>
  <si>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</si>
  <si>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</si>
  <si>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</si>
  <si>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</si>
  <si>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</si>
  <si>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</si>
  <si>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</si>
  <si>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</si>
  <si>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</si>
  <si>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</si>
  <si>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</si>
  <si>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</si>
  <si>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</si>
  <si>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</si>
  <si>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</si>
  <si>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</si>
  <si>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</si>
  <si>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</si>
  <si>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</si>
  <si>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</si>
  <si>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</si>
  <si>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</si>
  <si>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</si>
  <si>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</si>
  <si>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</si>
  <si>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</si>
  <si>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</si>
  <si>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</si>
  <si>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</si>
  <si>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</si>
  <si>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</si>
  <si>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</si>
  <si>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</si>
  <si>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</si>
  <si>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</si>
  <si>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</si>
  <si>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</si>
  <si>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</si>
  <si>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</si>
  <si>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</si>
  <si>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</si>
  <si>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</si>
  <si>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</si>
  <si>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</si>
  <si>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</si>
  <si>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</si>
  <si>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</si>
  <si>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</si>
  <si>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</si>
  <si>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</si>
  <si>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</si>
  <si>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</si>
  <si>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</si>
  <si>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</si>
  <si>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</si>
  <si>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</si>
  <si>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</si>
  <si>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</si>
  <si>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</si>
  <si>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</si>
  <si>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</si>
  <si>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</si>
  <si>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</si>
  <si>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</si>
  <si>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</si>
  <si>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</si>
  <si>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</si>
  <si>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</si>
  <si>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</si>
  <si>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</si>
  <si>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</si>
  <si>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</si>
  <si>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</si>
  <si>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</si>
  <si>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</si>
  <si>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</si>
  <si>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</si>
  <si>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</si>
  <si>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</si>
  <si>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</si>
  <si>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</si>
  <si>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</si>
  <si>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</si>
  <si>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</si>
  <si>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</si>
  <si>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</si>
  <si>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</si>
  <si>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</si>
  <si>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</si>
  <si>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</si>
  <si>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</si>
  <si>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</si>
  <si>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</si>
  <si>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</si>
  <si>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</si>
  <si>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</si>
  <si>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</si>
  <si>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</si>
  <si>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</si>
  <si>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</si>
  <si>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</si>
  <si>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</si>
  <si>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</si>
  <si>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</si>
  <si>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</si>
  <si>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</si>
  <si>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</si>
  <si>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</si>
  <si>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</si>
  <si>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</si>
  <si>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</si>
  <si>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</si>
  <si>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</si>
  <si>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</si>
  <si>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</si>
  <si>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</si>
  <si>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</si>
  <si>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</si>
  <si>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</si>
  <si>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</si>
  <si>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</si>
  <si>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</si>
  <si>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</si>
  <si>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</si>
  <si>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</si>
  <si>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</si>
  <si>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</si>
  <si>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</si>
  <si>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</si>
  <si>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</si>
  <si>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</si>
  <si>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</si>
  <si>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</si>
  <si>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</si>
  <si>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</si>
  <si>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</si>
  <si>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</si>
  <si>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</si>
  <si>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</si>
  <si>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</si>
  <si>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</si>
  <si>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</si>
  <si>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</si>
  <si>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</si>
  <si>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</si>
  <si>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</si>
  <si>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</si>
  <si>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</si>
  <si>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</si>
  <si>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</si>
  <si>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</si>
  <si>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</si>
  <si>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</si>
  <si>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</si>
  <si>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</si>
  <si>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</si>
  <si>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</si>
  <si>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</si>
  <si>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</si>
  <si>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</si>
  <si>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</si>
  <si>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</si>
  <si>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</si>
  <si>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</si>
  <si>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</si>
  <si>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</si>
  <si>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</si>
  <si>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</si>
  <si>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</si>
  <si>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</si>
  <si>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</si>
  <si>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</si>
  <si>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</si>
  <si>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</si>
  <si>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</si>
  <si>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</si>
  <si>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</si>
  <si>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</si>
  <si>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</si>
  <si>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</si>
  <si>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</si>
  <si>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</si>
  <si>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</si>
  <si>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</si>
  <si>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</si>
  <si>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</si>
  <si>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</si>
  <si>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</si>
  <si>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</si>
  <si>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</si>
  <si>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</si>
  <si>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</si>
  <si>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</si>
  <si>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</si>
  <si>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</si>
  <si>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</si>
  <si>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</si>
  <si>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</si>
  <si>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</si>
  <si>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</si>
  <si>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</si>
  <si>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</si>
  <si>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</si>
  <si>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</si>
  <si>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</si>
  <si>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</si>
  <si>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</si>
  <si>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</si>
  <si>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</si>
  <si>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</si>
  <si>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</si>
  <si>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</si>
  <si>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</si>
  <si>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</si>
  <si>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</si>
  <si>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</si>
  <si>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</si>
  <si>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</si>
  <si>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</si>
  <si>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</si>
  <si>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</si>
  <si>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</si>
  <si>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</si>
  <si>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</si>
  <si>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</si>
  <si>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</si>
  <si>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</si>
  <si>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</si>
  <si>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</si>
  <si>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</si>
  <si>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</si>
  <si>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</si>
  <si>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</si>
  <si>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</si>
  <si>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</si>
  <si>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</si>
  <si>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</si>
  <si>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</si>
  <si>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</si>
  <si>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</si>
  <si>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</si>
  <si>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</si>
  <si>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</si>
  <si>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</si>
  <si>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</si>
  <si>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</si>
  <si>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</si>
  <si>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</si>
  <si>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</si>
  <si>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</si>
  <si>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</si>
  <si>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</si>
  <si>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</si>
  <si>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</si>
  <si>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</si>
  <si>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</si>
  <si>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</si>
  <si>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</si>
  <si>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</si>
  <si>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</si>
  <si>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</si>
  <si>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</si>
  <si>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</si>
  <si>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</si>
  <si>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</si>
  <si>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</si>
  <si>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</si>
  <si>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</si>
  <si>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</si>
  <si>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</si>
  <si>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</si>
  <si>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</si>
  <si>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</si>
  <si>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</si>
  <si>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</si>
  <si>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</si>
  <si>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</si>
  <si>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</si>
  <si>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</si>
  <si>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</si>
  <si>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</si>
  <si>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</si>
  <si>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</si>
  <si>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</si>
  <si>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</si>
  <si>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</si>
  <si>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</si>
  <si>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</si>
  <si>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</si>
  <si>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</si>
  <si>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</si>
  <si>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</si>
  <si>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</si>
  <si>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</si>
  <si>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</si>
  <si>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</si>
  <si>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</si>
  <si>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</si>
  <si>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</si>
  <si>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</si>
  <si>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</si>
  <si>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</si>
  <si>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</si>
  <si>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</si>
  <si>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</si>
  <si>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</si>
  <si>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</si>
  <si>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</si>
  <si>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</si>
  <si>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</si>
  <si>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</si>
  <si>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</si>
  <si>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</si>
  <si>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</si>
  <si>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</si>
  <si>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</si>
  <si>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</si>
  <si>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</si>
  <si>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</si>
  <si>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</si>
  <si>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</si>
  <si>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</si>
  <si>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</si>
  <si>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</si>
  <si>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</si>
  <si>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</si>
  <si>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</si>
  <si>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</si>
  <si>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</si>
  <si>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</si>
  <si>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</si>
  <si>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</si>
  <si>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</si>
  <si>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</si>
  <si>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</si>
  <si>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</si>
  <si>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</si>
  <si>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</si>
  <si>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</si>
  <si>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</si>
  <si>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</si>
  <si>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</si>
  <si>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</si>
  <si>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</si>
  <si>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</si>
  <si>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</si>
  <si>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</si>
  <si>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</si>
  <si>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</si>
  <si>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</si>
  <si>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</si>
  <si>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</si>
  <si>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</si>
  <si>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</si>
  <si>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</si>
  <si>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</si>
  <si>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</si>
  <si>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</si>
  <si>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</si>
  <si>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</si>
  <si>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</si>
  <si>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</si>
  <si>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</si>
  <si>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</si>
  <si>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</si>
  <si>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</si>
  <si>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</si>
  <si>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</si>
  <si>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</si>
  <si>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</si>
  <si>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</si>
  <si>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</si>
  <si>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</si>
  <si>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</si>
  <si>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</si>
  <si>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</si>
  <si>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</si>
  <si>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</si>
  <si>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</si>
  <si>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</si>
  <si>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</si>
  <si>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</si>
  <si>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</si>
  <si>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</si>
  <si>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</si>
  <si>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</si>
  <si>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</si>
  <si>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</si>
  <si>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</si>
  <si>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</si>
  <si>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</si>
  <si>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</si>
  <si>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</si>
  <si>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</si>
  <si>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</si>
  <si>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</si>
  <si>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</si>
  <si>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</si>
  <si>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</si>
  <si>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</si>
  <si>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</si>
  <si>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</si>
  <si>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</si>
  <si>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</si>
  <si>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</si>
  <si>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</si>
  <si>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</si>
  <si>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</si>
  <si>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</si>
  <si>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</si>
  <si>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</si>
  <si>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</si>
  <si>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</si>
  <si>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</si>
  <si>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</si>
  <si>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</si>
  <si>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</si>
  <si>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</si>
  <si>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</si>
  <si>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</si>
  <si>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</si>
  <si>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</si>
  <si>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</si>
  <si>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</si>
  <si>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</si>
  <si>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</si>
  <si>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</si>
  <si>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</si>
  <si>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</si>
  <si>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</si>
  <si>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</si>
  <si>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</si>
  <si>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</si>
  <si>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</si>
  <si>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</si>
  <si>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</si>
  <si>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</si>
  <si>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</si>
  <si>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</si>
  <si>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</si>
  <si>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</si>
  <si>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</si>
  <si>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</si>
  <si>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</si>
  <si>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</si>
  <si>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</si>
  <si>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</si>
  <si>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</si>
  <si>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</si>
  <si>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</si>
  <si>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</si>
  <si>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</si>
  <si>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</si>
  <si>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</si>
  <si>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</si>
  <si>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</si>
  <si>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</si>
  <si>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</si>
  <si>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</si>
  <si>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</si>
  <si>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</si>
  <si>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</si>
  <si>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</si>
  <si>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</si>
  <si>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</si>
  <si>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</si>
  <si>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</si>
  <si>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</si>
  <si>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</si>
  <si>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</si>
  <si>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</si>
  <si>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</si>
  <si>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</si>
  <si>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</si>
  <si>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</si>
  <si>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</si>
  <si>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</si>
  <si>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</si>
  <si>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</si>
  <si>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</si>
  <si>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</si>
  <si>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</si>
  <si>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</si>
  <si>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</si>
  <si>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</si>
  <si>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</si>
  <si>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</si>
  <si>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</si>
  <si>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</si>
  <si>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</si>
  <si>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</si>
  <si>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</si>
  <si>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</si>
  <si>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</si>
  <si>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</si>
  <si>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</si>
  <si>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</si>
  <si>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</si>
  <si>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</si>
  <si>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</si>
  <si>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</si>
  <si>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</si>
  <si>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</si>
  <si>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</si>
  <si>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</si>
  <si>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</si>
  <si>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</si>
  <si>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</si>
  <si>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</si>
  <si>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</si>
  <si>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</si>
  <si>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</si>
  <si>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</si>
  <si>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</si>
  <si>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</si>
  <si>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</si>
  <si>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</si>
  <si>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</si>
  <si>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</si>
  <si>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</si>
  <si>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</si>
  <si>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</si>
  <si>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</si>
  <si>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</si>
  <si>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</si>
  <si>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</si>
  <si>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</si>
  <si>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</si>
  <si>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</si>
  <si>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</si>
  <si>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</si>
  <si>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</si>
  <si>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</si>
  <si>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</si>
  <si>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</si>
  <si>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</si>
  <si>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</si>
  <si>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</si>
  <si>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</si>
  <si>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</si>
  <si>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</si>
  <si>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</si>
  <si>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</si>
  <si>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</si>
  <si>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</si>
  <si>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</si>
  <si>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</si>
  <si>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</si>
  <si>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</si>
  <si>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</si>
  <si>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</si>
  <si>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</si>
  <si>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</si>
  <si>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</si>
  <si>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</si>
  <si>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</si>
  <si>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</si>
  <si>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</si>
  <si>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</si>
  <si>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</si>
  <si>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</si>
  <si>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</si>
  <si>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</si>
  <si>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</si>
  <si>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</si>
  <si>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</si>
  <si>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</si>
  <si>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</si>
  <si>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</si>
  <si>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</si>
  <si>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</si>
  <si>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</si>
  <si>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</si>
  <si>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</si>
  <si>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</si>
  <si>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</si>
  <si>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</si>
  <si>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</si>
  <si>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</si>
  <si>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</si>
  <si>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</si>
  <si>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</si>
  <si>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</si>
  <si>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</si>
  <si>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</si>
  <si>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</si>
  <si>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</si>
  <si>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</si>
  <si>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</si>
  <si>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</si>
  <si>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</si>
  <si>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</si>
  <si>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</si>
  <si>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</si>
  <si>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</si>
  <si>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</si>
  <si>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</si>
  <si>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</si>
  <si>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</si>
  <si>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</si>
  <si>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</si>
  <si>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</si>
  <si>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</si>
  <si>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</si>
  <si>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</si>
  <si>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</si>
  <si>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</si>
  <si>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</si>
  <si>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</si>
  <si>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</si>
  <si>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</si>
  <si>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</si>
  <si>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</si>
  <si>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</si>
  <si>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</si>
  <si>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</si>
  <si>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</si>
  <si>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</si>
  <si>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</si>
  <si>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</si>
  <si>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</si>
  <si>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</si>
  <si>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</si>
  <si>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</si>
  <si>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</si>
  <si>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</si>
  <si>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</si>
  <si>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</si>
  <si>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</si>
  <si>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</si>
  <si>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</si>
  <si>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</si>
  <si>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</si>
  <si>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</si>
  <si>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</si>
  <si>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</si>
  <si>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</si>
  <si>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</si>
  <si>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</si>
  <si>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</si>
  <si>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</si>
  <si>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</si>
  <si>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</si>
  <si>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</si>
  <si>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</si>
  <si>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</si>
  <si>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</si>
  <si>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</si>
  <si>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</si>
  <si>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</si>
  <si>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</si>
  <si>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</si>
  <si>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</si>
  <si>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</si>
  <si>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</si>
  <si>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</si>
  <si>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</si>
  <si>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</si>
  <si>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</si>
  <si>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</si>
  <si>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</si>
  <si>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</si>
  <si>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</si>
  <si>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</si>
  <si>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</si>
  <si>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</si>
  <si>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</si>
  <si>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</si>
  <si>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</si>
  <si>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</si>
  <si>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</si>
  <si>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</si>
  <si>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</si>
  <si>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</si>
  <si>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</si>
  <si>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</si>
  <si>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</si>
  <si>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</si>
  <si>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</si>
  <si>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</si>
  <si>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</si>
  <si>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</si>
  <si>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</si>
  <si>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</si>
  <si>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</si>
  <si>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</si>
  <si>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</si>
  <si>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</si>
  <si>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</si>
  <si>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</si>
  <si>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</si>
  <si>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</si>
  <si>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</si>
  <si>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</si>
  <si>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</si>
  <si>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</si>
  <si>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</si>
  <si>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</si>
  <si>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</si>
  <si>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</si>
  <si>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</si>
  <si>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</si>
  <si>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</si>
  <si>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</si>
  <si>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</si>
  <si>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</si>
  <si>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</si>
  <si>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</si>
  <si>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</si>
  <si>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</si>
  <si>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</si>
  <si>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</si>
  <si>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</si>
  <si>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</si>
  <si>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</si>
  <si>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</si>
  <si>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</si>
  <si>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</si>
  <si>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</si>
  <si>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</si>
  <si>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</si>
  <si>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</si>
  <si>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</si>
  <si>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</si>
  <si>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</si>
  <si>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</si>
  <si>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</si>
  <si>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</si>
  <si>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</si>
  <si>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</si>
  <si>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</si>
  <si>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</si>
  <si>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</si>
  <si>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</si>
  <si>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</si>
  <si>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</si>
  <si>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</si>
  <si>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</si>
  <si>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</si>
  <si>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</si>
  <si>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</si>
  <si>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</si>
  <si>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</si>
  <si>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</si>
  <si>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</si>
  <si>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</si>
  <si>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</si>
  <si>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</si>
  <si>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</si>
  <si>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</si>
  <si>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</si>
  <si>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</si>
  <si>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</si>
  <si>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</si>
  <si>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</si>
  <si>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</si>
  <si>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</si>
  <si>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</si>
  <si>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</si>
  <si>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</si>
  <si>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</si>
  <si>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</si>
  <si>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</si>
  <si>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</si>
  <si>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</si>
  <si>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</si>
  <si>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</si>
  <si>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</si>
  <si>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</si>
  <si>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</si>
  <si>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</si>
  <si>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</si>
  <si>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</si>
  <si>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</si>
  <si>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</si>
  <si>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</si>
  <si>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</si>
  <si>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</si>
  <si>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</si>
  <si>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</si>
  <si>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</si>
  <si>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</si>
  <si>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</si>
  <si>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</si>
  <si>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</si>
  <si>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</si>
  <si>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</si>
  <si>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</si>
  <si>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</si>
  <si>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</si>
  <si>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</si>
  <si>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</si>
  <si>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</si>
  <si>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</si>
  <si>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</si>
  <si>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</si>
  <si>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</si>
  <si>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</si>
  <si>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</si>
  <si>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</si>
  <si>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</si>
  <si>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</si>
  <si>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</si>
  <si>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</si>
  <si>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</si>
  <si>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</si>
  <si>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</si>
  <si>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</si>
  <si>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</si>
  <si>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</si>
  <si>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</si>
  <si>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</si>
  <si>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</si>
  <si>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</si>
  <si>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</si>
  <si>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</si>
  <si>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</si>
  <si>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</si>
  <si>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</si>
  <si>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</si>
  <si>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</si>
  <si>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</si>
  <si>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</si>
  <si>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</si>
  <si>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</si>
  <si>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</si>
  <si>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</si>
  <si>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</si>
  <si>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</si>
  <si>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</si>
  <si>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</si>
  <si>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</si>
  <si>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</si>
  <si>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</si>
  <si>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</si>
  <si>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</si>
  <si>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</si>
  <si>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</si>
  <si>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</si>
  <si>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</si>
  <si>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</si>
  <si>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</si>
  <si>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</si>
  <si>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</si>
  <si>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</si>
  <si>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</si>
  <si>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</si>
  <si>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</si>
  <si>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</si>
  <si>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</si>
  <si>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</si>
  <si>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</si>
  <si>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</si>
  <si>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</si>
  <si>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</si>
  <si>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</si>
  <si>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</si>
  <si>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</si>
  <si>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</si>
  <si>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</si>
  <si>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</si>
  <si>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</si>
  <si>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</si>
  <si>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</si>
  <si>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</si>
  <si>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</si>
  <si>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</si>
  <si>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</si>
  <si>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</si>
  <si>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</si>
  <si>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</si>
  <si>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</si>
  <si>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</si>
  <si>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</si>
  <si>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</si>
  <si>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</si>
  <si>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</si>
  <si>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</si>
  <si>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</si>
  <si>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</si>
  <si>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</si>
  <si>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</si>
  <si>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</si>
  <si>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</si>
  <si>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</si>
  <si>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</si>
  <si>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</si>
  <si>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</si>
  <si>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</si>
  <si>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</si>
  <si>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</si>
  <si>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</si>
  <si>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</si>
  <si>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</si>
  <si>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</si>
  <si>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</si>
  <si>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</si>
  <si>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</si>
  <si>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</si>
  <si>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</si>
  <si>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</si>
  <si>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</si>
  <si>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</si>
  <si>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</si>
  <si>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</si>
  <si>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</si>
  <si>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</si>
  <si>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</si>
  <si>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</si>
  <si>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</si>
  <si>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</si>
  <si>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</si>
  <si>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</si>
  <si>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</si>
  <si>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</si>
  <si>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</si>
  <si>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</si>
  <si>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</si>
  <si>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</si>
  <si>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</si>
  <si>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</si>
  <si>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</si>
  <si>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</si>
  <si>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</si>
  <si>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</si>
  <si>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</si>
  <si>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</si>
  <si>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</si>
  <si>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</si>
  <si>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</si>
  <si>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</si>
  <si>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</si>
  <si>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</si>
  <si>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</si>
  <si>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</si>
  <si>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</si>
  <si>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</si>
  <si>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</si>
  <si>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</si>
  <si>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</si>
  <si>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</si>
  <si>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</si>
  <si>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</si>
  <si>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</si>
  <si>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</si>
  <si>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</si>
  <si>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</si>
  <si>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</si>
  <si>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</si>
  <si>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</si>
  <si>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</si>
  <si>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</si>
  <si>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</si>
  <si>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</si>
  <si>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</si>
  <si>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</si>
  <si>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</si>
  <si>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</si>
  <si>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</si>
  <si>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</si>
  <si>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</si>
  <si>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</si>
  <si>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</si>
  <si>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</si>
  <si>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</si>
  <si>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</si>
  <si>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</si>
  <si>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</si>
  <si>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</si>
  <si>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</si>
  <si>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</si>
  <si>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</si>
  <si>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</si>
  <si>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</si>
  <si>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</si>
  <si>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</si>
  <si>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</si>
  <si>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</si>
  <si>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</si>
  <si>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</si>
  <si>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</si>
  <si>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</si>
  <si>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</si>
  <si>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</si>
  <si>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</si>
  <si>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</si>
  <si>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</si>
  <si>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</si>
  <si>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</si>
  <si>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</si>
  <si>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</si>
  <si>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</si>
  <si>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</si>
  <si>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</si>
  <si>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</si>
  <si>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</si>
  <si>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</si>
  <si>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</si>
  <si>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</si>
  <si>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</si>
  <si>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</si>
  <si>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</si>
  <si>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</si>
  <si>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</si>
  <si>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</si>
  <si>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</si>
  <si>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</si>
  <si>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</si>
  <si>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</si>
  <si>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</si>
  <si>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</si>
  <si>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</si>
  <si>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</si>
  <si>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</si>
  <si>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</si>
  <si>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</si>
  <si>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</si>
  <si>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</si>
  <si>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</si>
  <si>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</si>
  <si>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</si>
  <si>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</si>
  <si>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</si>
  <si>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</si>
  <si>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</si>
  <si>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</si>
  <si>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</si>
  <si>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</si>
  <si>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</si>
  <si>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</si>
  <si>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</si>
  <si>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</si>
  <si>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</si>
  <si>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</si>
  <si>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</si>
  <si>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</si>
  <si>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</si>
  <si>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</si>
  <si>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</si>
  <si>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</si>
  <si>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</si>
  <si>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</si>
  <si>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</si>
  <si>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</si>
  <si>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</si>
  <si>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</si>
  <si>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</si>
  <si>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</si>
  <si>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</si>
  <si>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</si>
  <si>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</si>
  <si>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</si>
  <si>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</si>
  <si>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</si>
  <si>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</si>
  <si>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</si>
  <si>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</si>
  <si>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</si>
  <si>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</si>
  <si>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</si>
  <si>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</si>
  <si>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</si>
  <si>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</si>
  <si>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</si>
  <si>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</si>
  <si>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</si>
  <si>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</si>
  <si>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</si>
  <si>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</si>
  <si>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</si>
  <si>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</si>
  <si>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</si>
  <si>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</si>
  <si>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</si>
  <si>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</si>
  <si>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</si>
  <si>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</si>
  <si>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</si>
  <si>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</si>
  <si>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</si>
  <si>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</si>
  <si>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</si>
  <si>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</si>
  <si>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</si>
  <si>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</si>
  <si>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</si>
  <si>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</si>
  <si>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</si>
  <si>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</si>
  <si>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</si>
  <si>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</si>
  <si>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</si>
  <si>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</si>
  <si>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</si>
  <si>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</si>
  <si>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</si>
  <si>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</si>
  <si>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</si>
  <si>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</si>
  <si>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</si>
  <si>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</si>
  <si>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</si>
  <si>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</si>
  <si>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</si>
  <si>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</si>
  <si>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</si>
  <si>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</si>
  <si>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</si>
  <si>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</si>
  <si>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</si>
  <si>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</si>
  <si>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</si>
  <si>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</si>
  <si>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</si>
  <si>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</si>
  <si>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</si>
  <si>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</si>
  <si>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</si>
  <si>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</si>
  <si>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</si>
  <si>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</si>
  <si>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</si>
  <si>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</si>
  <si>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</si>
  <si>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</si>
  <si>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</si>
  <si>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</si>
  <si>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</si>
  <si>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</si>
  <si>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</si>
  <si>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</si>
  <si>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</si>
  <si>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</si>
  <si>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</si>
  <si>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</si>
  <si>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</si>
  <si>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</si>
  <si>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</si>
  <si>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</si>
  <si>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</si>
  <si>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</si>
  <si>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</si>
  <si>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</si>
  <si>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</si>
  <si>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</si>
  <si>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</si>
  <si>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</si>
  <si>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</si>
  <si>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</si>
  <si>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</si>
  <si>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</si>
  <si>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</si>
  <si>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</si>
  <si>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</si>
  <si>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</si>
  <si>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</si>
  <si>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</si>
  <si>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</si>
  <si>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</si>
  <si>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</si>
  <si>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</si>
  <si>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</si>
  <si>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</si>
  <si>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</si>
  <si>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</si>
  <si>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</si>
  <si>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</si>
  <si>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</si>
  <si>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</si>
  <si>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</si>
  <si>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</si>
  <si>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</si>
  <si>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</si>
  <si>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</si>
  <si>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</si>
  <si>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</si>
  <si>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</si>
  <si>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</si>
  <si>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</si>
  <si>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</si>
  <si>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</si>
  <si>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</si>
  <si>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</si>
  <si>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</si>
  <si>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</si>
  <si>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</si>
  <si>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</si>
  <si>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</si>
  <si>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</si>
  <si>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</si>
  <si>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</si>
  <si>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</si>
  <si>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</si>
  <si>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</si>
  <si>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</si>
  <si>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</si>
  <si>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</si>
  <si>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</si>
  <si>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</si>
  <si>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</si>
  <si>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</si>
  <si>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</si>
  <si>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</si>
  <si>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</si>
  <si>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</si>
  <si>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</si>
  <si>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</si>
  <si>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</si>
  <si>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</si>
  <si>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</si>
  <si>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</si>
  <si>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</si>
  <si>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</si>
  <si>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</si>
  <si>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</si>
  <si>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</si>
  <si>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</si>
  <si>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</si>
  <si>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</si>
  <si>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</si>
  <si>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</si>
  <si>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</si>
  <si>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</si>
  <si>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</si>
  <si>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</si>
  <si>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</si>
  <si>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</si>
  <si>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</si>
  <si>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</si>
  <si>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</si>
  <si>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</si>
  <si>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</si>
  <si>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</si>
  <si>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</si>
  <si>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</si>
  <si>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</si>
  <si>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</si>
  <si>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</si>
  <si>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</si>
  <si>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</si>
  <si>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</si>
  <si>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</si>
  <si>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</si>
  <si>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</si>
  <si>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</si>
  <si>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</si>
  <si>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</si>
  <si>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</si>
  <si>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</si>
  <si>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</si>
  <si>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</si>
  <si>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</si>
  <si>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</si>
  <si>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</si>
  <si>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</si>
  <si>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</si>
  <si>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</si>
  <si>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</si>
  <si>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</si>
  <si>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</si>
  <si>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</si>
  <si>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</si>
  <si>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</si>
  <si>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</si>
  <si>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</si>
  <si>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</si>
  <si>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</si>
  <si>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</si>
  <si>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</si>
  <si>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</si>
  <si>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</si>
  <si>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</si>
  <si>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</si>
  <si>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</si>
  <si>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</si>
  <si>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</si>
  <si>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</si>
  <si>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</si>
  <si>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</si>
  <si>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</si>
  <si>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</si>
  <si>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</si>
  <si>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</si>
  <si>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</si>
  <si>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</si>
  <si>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</si>
  <si>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</si>
  <si>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</si>
  <si>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</si>
  <si>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</si>
  <si>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</si>
  <si>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</si>
  <si>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</si>
  <si>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</si>
  <si>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</si>
  <si>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</si>
  <si>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</si>
  <si>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</si>
  <si>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</si>
  <si>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</si>
  <si>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</si>
  <si>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</si>
  <si>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</si>
  <si>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</si>
  <si>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</si>
  <si>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</si>
  <si>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</si>
  <si>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</si>
  <si>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</si>
  <si>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</si>
  <si>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</si>
  <si>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</si>
  <si>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</si>
  <si>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</si>
  <si>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</si>
  <si>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</si>
  <si>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</si>
  <si>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</si>
  <si>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</si>
  <si>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</si>
  <si>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</si>
  <si>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</si>
  <si>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</si>
  <si>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</si>
  <si>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</si>
  <si>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</si>
  <si>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</si>
  <si>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</si>
  <si>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</si>
  <si>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</si>
  <si>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</si>
  <si>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</si>
  <si>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</si>
  <si>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</si>
  <si>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</si>
  <si>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</si>
  <si>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</si>
  <si>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</si>
  <si>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</si>
  <si>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</si>
  <si>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</si>
  <si>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</si>
  <si>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</si>
  <si>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</si>
  <si>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</si>
  <si>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</si>
  <si>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</si>
  <si>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</si>
  <si>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</si>
  <si>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</si>
  <si>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</si>
  <si>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</si>
  <si>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</si>
  <si>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</si>
  <si>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</si>
  <si>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</si>
  <si>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</si>
  <si>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</si>
  <si>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</si>
  <si>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</si>
  <si>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</si>
  <si>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</si>
  <si>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</si>
  <si>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</si>
  <si>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</si>
  <si>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</si>
  <si>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</si>
  <si>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</si>
  <si>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</si>
  <si>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</si>
  <si>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</si>
  <si>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</si>
  <si>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</si>
  <si>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</si>
  <si>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</si>
  <si>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</si>
  <si>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</si>
  <si>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</si>
  <si>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</si>
  <si>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</si>
  <si>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</si>
  <si>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</si>
  <si>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</si>
  <si>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</si>
  <si>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</si>
  <si>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</si>
  <si>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</si>
  <si>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</si>
  <si>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</si>
  <si>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</si>
  <si>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</si>
  <si>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</si>
  <si>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</si>
  <si>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</si>
  <si>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</si>
  <si>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</si>
  <si>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</si>
  <si>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</si>
  <si>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</si>
  <si>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</si>
  <si>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</si>
  <si>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</si>
  <si>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</si>
  <si>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</si>
  <si>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</si>
  <si>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</si>
  <si>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</si>
  <si>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</si>
  <si>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</si>
  <si>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</si>
  <si>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</si>
  <si>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</si>
  <si>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</si>
  <si>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</si>
  <si>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</si>
  <si>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</si>
  <si>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</si>
  <si>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</si>
  <si>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</si>
  <si>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</si>
  <si>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</si>
  <si>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</si>
  <si>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</si>
  <si>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</si>
  <si>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</si>
  <si>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</si>
  <si>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</si>
  <si>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</si>
  <si>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</si>
  <si>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</si>
  <si>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</si>
  <si>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</si>
  <si>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</si>
  <si>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</si>
  <si>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</si>
  <si>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</si>
  <si>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</si>
  <si>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</si>
  <si>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</si>
  <si>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</si>
  <si>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</si>
  <si>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</si>
  <si>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</si>
  <si>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</si>
  <si>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</si>
  <si>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</si>
  <si>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</si>
  <si>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</si>
  <si>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</si>
  <si>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</si>
  <si>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</si>
  <si>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</si>
  <si>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</si>
  <si>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</si>
  <si>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</si>
  <si>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</si>
  <si>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</si>
  <si>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</si>
  <si>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</si>
  <si>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</si>
  <si>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</si>
  <si>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</si>
  <si>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</si>
  <si>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</si>
  <si>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</si>
  <si>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</si>
  <si>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</si>
  <si>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</si>
  <si>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</si>
  <si>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</si>
  <si>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</si>
  <si>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</si>
  <si>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</si>
  <si>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</si>
  <si>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</si>
  <si>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</si>
  <si>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</si>
  <si>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</si>
  <si>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</si>
  <si>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</si>
  <si>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</si>
  <si>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</si>
  <si>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</si>
  <si>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</si>
  <si>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</si>
  <si>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</si>
  <si>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</si>
  <si>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</si>
  <si>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</si>
  <si>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</si>
  <si>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</si>
  <si>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</si>
  <si>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</si>
  <si>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</si>
  <si>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</si>
  <si>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</si>
  <si>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</si>
  <si>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</si>
  <si>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</si>
  <si>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</si>
  <si>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</si>
  <si>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</si>
  <si>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</si>
  <si>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</si>
  <si>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</si>
  <si>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</si>
  <si>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</si>
  <si>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</si>
  <si>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</si>
  <si>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</si>
  <si>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</si>
  <si>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</si>
  <si>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</si>
  <si>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</si>
  <si>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</si>
  <si>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</si>
  <si>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</si>
  <si>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</si>
  <si>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</si>
  <si>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</si>
  <si>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</si>
  <si>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</si>
  <si>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</si>
  <si>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</si>
  <si>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</si>
  <si>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</si>
  <si>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</si>
  <si>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</si>
  <si>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</si>
  <si>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</si>
  <si>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</si>
  <si>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</si>
  <si>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</si>
  <si>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</si>
  <si>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</si>
  <si>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</si>
  <si>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</si>
  <si>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</si>
  <si>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</si>
  <si>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</si>
  <si>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</si>
  <si>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</si>
  <si>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</si>
  <si>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</si>
  <si>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</si>
  <si>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</si>
  <si>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</si>
  <si>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</si>
  <si>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</si>
  <si>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</si>
  <si>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</si>
  <si>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</si>
  <si>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</si>
  <si>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</si>
  <si>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</si>
  <si>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</si>
  <si>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</si>
  <si>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</si>
  <si>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</si>
  <si>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</si>
  <si>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</si>
  <si>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</si>
  <si>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</si>
  <si>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</si>
  <si>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</si>
  <si>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</si>
  <si>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</si>
  <si>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</si>
  <si>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</si>
  <si>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</si>
  <si>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</si>
  <si>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</si>
  <si>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</si>
  <si>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</si>
  <si>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</si>
  <si>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</si>
  <si>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</si>
  <si>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</si>
  <si>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</si>
  <si>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</si>
  <si>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</si>
  <si>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</si>
  <si>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</si>
  <si>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</si>
  <si>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</si>
  <si>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</si>
  <si>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</si>
  <si>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</si>
  <si>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</si>
  <si>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</si>
  <si>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</si>
  <si>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</si>
  <si>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</si>
  <si>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</si>
  <si>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</si>
  <si>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</si>
  <si>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</si>
  <si>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</si>
  <si>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</si>
  <si>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</si>
  <si>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</si>
  <si>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</si>
  <si>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</si>
  <si>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</si>
  <si>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</si>
  <si>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</si>
  <si>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</si>
  <si>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</si>
  <si>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</si>
  <si>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</si>
  <si>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</si>
  <si>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</si>
  <si>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</si>
  <si>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</si>
  <si>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</si>
  <si>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</si>
  <si>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</si>
  <si>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</si>
  <si>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</si>
  <si>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</si>
  <si>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</si>
  <si>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</si>
  <si>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</si>
  <si>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</si>
  <si>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</si>
  <si>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</si>
  <si>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</si>
  <si>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</si>
  <si>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</si>
  <si>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</si>
  <si>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</si>
  <si>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</si>
  <si>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</si>
  <si>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</si>
  <si>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</si>
  <si>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</si>
  <si>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</si>
  <si>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</si>
  <si>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</si>
  <si>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</si>
  <si>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</si>
  <si>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</si>
  <si>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</si>
  <si>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</si>
  <si>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</si>
  <si>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</si>
  <si>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</si>
  <si>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</si>
  <si>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</si>
  <si>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</si>
  <si>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</si>
  <si>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</si>
  <si>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</si>
  <si>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</si>
  <si>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</si>
  <si>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</si>
  <si>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</si>
  <si>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</si>
  <si>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</si>
  <si>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</si>
  <si>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</si>
  <si>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</si>
  <si>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</si>
  <si>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</si>
  <si>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</si>
  <si>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</si>
  <si>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</si>
  <si>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</si>
  <si>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</si>
  <si>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</si>
  <si>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</si>
  <si>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</si>
  <si>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</si>
  <si>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</si>
  <si>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</si>
  <si>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</si>
  <si>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</si>
  <si>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</si>
  <si>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</si>
  <si>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</si>
  <si>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</si>
  <si>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</si>
  <si>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</si>
  <si>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</si>
  <si>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</si>
  <si>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</si>
  <si>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</si>
  <si>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</si>
  <si>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</si>
  <si>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</si>
  <si>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</si>
  <si>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</si>
  <si>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</si>
  <si>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</si>
  <si>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</si>
  <si>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</si>
  <si>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</si>
  <si>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</si>
  <si>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</si>
  <si>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</si>
  <si>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</si>
  <si>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</si>
  <si>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</si>
  <si>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</si>
  <si>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</si>
  <si>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</si>
  <si>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</si>
  <si>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</si>
  <si>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</si>
  <si>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</si>
  <si>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</si>
  <si>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</si>
  <si>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</si>
  <si>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</si>
  <si>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</si>
  <si>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</si>
  <si>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</si>
  <si>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</si>
  <si>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</si>
  <si>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</si>
  <si>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</si>
  <si>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</si>
  <si>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</si>
  <si>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</si>
  <si>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</si>
  <si>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</si>
  <si>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</si>
  <si>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</si>
  <si>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</si>
  <si>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</si>
  <si>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</si>
  <si>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</si>
  <si>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</si>
  <si>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</si>
  <si>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</si>
  <si>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</si>
  <si>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</si>
  <si>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</si>
  <si>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</si>
  <si>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</si>
  <si>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</si>
  <si>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</si>
  <si>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</si>
  <si>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</si>
  <si>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</si>
  <si>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</si>
  <si>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</si>
  <si>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</si>
  <si>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</si>
  <si>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</si>
  <si>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</si>
  <si>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</si>
  <si>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</si>
  <si>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</si>
  <si>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</si>
  <si>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</si>
  <si>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</si>
  <si>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</si>
  <si>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</si>
  <si>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</si>
  <si>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</si>
  <si>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</si>
  <si>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</si>
  <si>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</si>
  <si>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</si>
  <si>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</si>
  <si>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</si>
  <si>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</si>
  <si>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</si>
  <si>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</si>
  <si>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</si>
  <si>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</si>
  <si>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</si>
  <si>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</si>
  <si>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</si>
  <si>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</si>
  <si>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</si>
  <si>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</si>
  <si>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</si>
  <si>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</si>
  <si>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</si>
  <si>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</si>
  <si>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</si>
  <si>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</si>
  <si>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</si>
  <si>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</si>
  <si>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</si>
  <si>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</si>
  <si>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</si>
  <si>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</si>
  <si>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</si>
  <si>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</si>
  <si>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</si>
  <si>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</si>
  <si>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</si>
  <si>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</si>
  <si>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</si>
  <si>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</si>
  <si>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</si>
  <si>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</si>
  <si>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</si>
  <si>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</si>
  <si>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</si>
  <si>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</si>
  <si>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</si>
  <si>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</si>
  <si>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</si>
  <si>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</si>
  <si>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</si>
  <si>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</si>
  <si>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</si>
  <si>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</si>
  <si>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</si>
  <si>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</si>
  <si>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</si>
  <si>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</si>
  <si>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</si>
  <si>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</si>
  <si>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</si>
  <si>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</si>
  <si>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</si>
  <si>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</si>
  <si>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</si>
  <si>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</si>
  <si>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</si>
  <si>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</si>
  <si>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</si>
  <si>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</si>
  <si>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</si>
  <si>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</si>
  <si>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</si>
  <si>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</si>
  <si>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</si>
  <si>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</si>
  <si>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</si>
  <si>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</si>
  <si>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</si>
  <si>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</si>
  <si>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</si>
  <si>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</si>
  <si>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</si>
  <si>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</si>
  <si>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</si>
  <si>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</si>
  <si>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</si>
  <si>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</si>
  <si>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</si>
  <si>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</si>
  <si>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</si>
  <si>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</si>
  <si>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</si>
  <si>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</si>
  <si>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</si>
  <si>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</si>
  <si>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</si>
  <si>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</si>
  <si>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</si>
  <si>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</si>
  <si>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</si>
  <si>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</si>
  <si>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</si>
  <si>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</si>
  <si>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</si>
  <si>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</si>
  <si>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</si>
  <si>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</si>
  <si>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</si>
  <si>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</si>
  <si>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</si>
  <si>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</si>
  <si>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</si>
  <si>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</si>
  <si>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</si>
  <si>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</si>
  <si>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</si>
  <si>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</si>
  <si>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</si>
  <si>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</si>
  <si>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</si>
  <si>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</si>
  <si>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</si>
  <si>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</si>
  <si>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</si>
  <si>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</si>
  <si>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</si>
  <si>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</si>
  <si>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</si>
  <si>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</si>
  <si>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</si>
  <si>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</si>
  <si>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</si>
  <si>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</si>
  <si>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</si>
  <si>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</si>
  <si>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</si>
  <si>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</si>
  <si>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</si>
  <si>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</si>
  <si>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</si>
  <si>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</si>
  <si>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</si>
  <si>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</si>
  <si>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</si>
  <si>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</si>
  <si>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</si>
  <si>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</si>
  <si>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</si>
  <si>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</si>
  <si>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</si>
  <si>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</si>
  <si>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</si>
  <si>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</si>
  <si>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</si>
  <si>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</si>
  <si>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</si>
  <si>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</si>
  <si>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</si>
  <si>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</si>
  <si>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</si>
  <si>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</si>
  <si>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</si>
  <si>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</si>
  <si>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</si>
  <si>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</si>
  <si>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</si>
  <si>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</si>
  <si>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</si>
  <si>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</si>
  <si>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</si>
  <si>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</si>
  <si>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</si>
  <si>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</si>
  <si>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</si>
  <si>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</si>
  <si>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</si>
  <si>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</si>
  <si>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</si>
  <si>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</si>
  <si>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</si>
  <si>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</si>
  <si>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</si>
  <si>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</si>
  <si>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</si>
  <si>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</si>
  <si>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</si>
  <si>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</si>
  <si>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</si>
  <si>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</si>
  <si>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</si>
  <si>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</si>
  <si>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</si>
  <si>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</si>
  <si>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</si>
  <si>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</si>
  <si>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</si>
  <si>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</si>
  <si>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</si>
  <si>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</si>
  <si>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</si>
  <si>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</si>
  <si>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</si>
  <si>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</si>
  <si>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</si>
  <si>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</si>
  <si>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</si>
  <si>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</si>
  <si>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</si>
  <si>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</si>
  <si>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</si>
  <si>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</si>
  <si>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</si>
  <si>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</si>
  <si>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</si>
  <si>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</si>
  <si>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</si>
  <si>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</si>
  <si>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</si>
  <si>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</si>
  <si>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</si>
  <si>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</si>
  <si>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</si>
  <si>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</si>
  <si>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</si>
  <si>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</si>
  <si>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</si>
  <si>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</si>
  <si>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</si>
  <si>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</si>
  <si>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</si>
  <si>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</si>
  <si>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</si>
  <si>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</si>
  <si>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</si>
  <si>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</si>
  <si>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</si>
  <si>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</si>
  <si>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</si>
  <si>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</si>
  <si>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</si>
  <si>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</si>
  <si>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</si>
  <si>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</si>
  <si>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</si>
  <si>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</si>
  <si>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</si>
  <si>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</si>
  <si>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</si>
  <si>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</si>
  <si>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</si>
  <si>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</si>
  <si>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</si>
  <si>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</si>
  <si>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</si>
  <si>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</si>
  <si>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</si>
  <si>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</si>
  <si>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</si>
  <si>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</si>
  <si>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</si>
  <si>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</si>
  <si>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</si>
  <si>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</si>
  <si>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</si>
  <si>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</si>
  <si>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</si>
  <si>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</si>
  <si>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</si>
  <si>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</si>
  <si>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</si>
  <si>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</si>
  <si>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</si>
  <si>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</si>
  <si>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</si>
  <si>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</si>
  <si>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</si>
  <si>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</si>
  <si>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</si>
  <si>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</si>
  <si>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</si>
  <si>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</si>
  <si>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</si>
  <si>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</si>
  <si>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</si>
  <si>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</si>
  <si>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</si>
  <si>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</si>
  <si>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</si>
  <si>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</si>
  <si>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</si>
  <si>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</si>
  <si>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</si>
  <si>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</si>
  <si>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</si>
  <si>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</si>
  <si>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</si>
  <si>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</si>
  <si>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</si>
  <si>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</si>
  <si>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</si>
  <si>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</si>
  <si>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</si>
  <si>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</si>
  <si>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</si>
  <si>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</si>
  <si>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</si>
  <si>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</si>
  <si>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</si>
  <si>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</si>
  <si>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</si>
  <si>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</si>
  <si>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</si>
  <si>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</si>
  <si>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</si>
  <si>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</si>
  <si>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</si>
  <si>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</si>
  <si>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</si>
  <si>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</si>
  <si>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</si>
  <si>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</si>
  <si>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</si>
  <si>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</si>
  <si>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</si>
  <si>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</si>
  <si>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</si>
  <si>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</si>
  <si>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</si>
  <si>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</si>
  <si>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</si>
  <si>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</si>
  <si>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</si>
  <si>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</si>
  <si>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</si>
  <si>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</si>
  <si>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</si>
  <si>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</si>
  <si>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</si>
  <si>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</si>
  <si>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</si>
  <si>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</si>
  <si>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</si>
  <si>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</si>
  <si>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</si>
  <si>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</si>
  <si>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</si>
  <si>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</si>
  <si>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</si>
  <si>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</si>
  <si>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</si>
  <si>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</si>
  <si>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</si>
  <si>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</si>
  <si>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</si>
  <si>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</si>
  <si>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</si>
  <si>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</si>
  <si>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</si>
  <si>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</si>
  <si>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</si>
  <si>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</si>
  <si>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</si>
  <si>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</si>
  <si>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</si>
  <si>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</si>
  <si>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</si>
  <si>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</si>
  <si>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</si>
  <si>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</si>
  <si>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</si>
  <si>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</si>
  <si>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</si>
  <si>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</si>
  <si>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</si>
  <si>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</si>
  <si>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</si>
  <si>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</si>
  <si>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</si>
  <si>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</si>
  <si>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</si>
  <si>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</si>
  <si>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</si>
  <si>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</si>
  <si>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</si>
  <si>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</si>
  <si>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</si>
  <si>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</si>
  <si>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</si>
  <si>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</si>
  <si>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</si>
  <si>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</si>
  <si>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</si>
  <si>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</si>
  <si>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</si>
  <si>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</si>
  <si>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</si>
  <si>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</si>
  <si>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</si>
  <si>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</si>
  <si>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</si>
  <si>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</si>
  <si>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</si>
  <si>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</si>
  <si>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</si>
  <si>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</si>
  <si>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</si>
  <si>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</si>
  <si>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</si>
  <si>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</si>
  <si>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</si>
  <si>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</si>
  <si>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</si>
  <si>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</si>
  <si>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</si>
  <si>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</si>
  <si>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</si>
  <si>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</si>
  <si>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</si>
  <si>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</si>
  <si>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</si>
  <si>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</si>
  <si>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</si>
  <si>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</si>
  <si>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</si>
  <si>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</si>
  <si>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</si>
  <si>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</si>
  <si>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</si>
  <si>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</si>
  <si>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</si>
  <si>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</si>
  <si>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</si>
  <si>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</si>
  <si>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</si>
  <si>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</si>
  <si>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</si>
  <si>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</si>
  <si>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</si>
  <si>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</si>
  <si>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</si>
  <si>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</si>
  <si>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</si>
  <si>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</si>
  <si>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</si>
  <si>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</si>
  <si>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</si>
  <si>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</si>
  <si>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</si>
  <si>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</si>
  <si>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</si>
  <si>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</si>
  <si>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</si>
  <si>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</si>
  <si>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</si>
  <si>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</si>
  <si>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</si>
  <si>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</si>
  <si>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</si>
  <si>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</si>
  <si>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</si>
  <si>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</si>
  <si>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</si>
  <si>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</si>
  <si>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</si>
  <si>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</si>
  <si>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</si>
  <si>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</si>
  <si>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</si>
  <si>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</si>
  <si>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</si>
  <si>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</si>
  <si>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</si>
  <si>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</si>
  <si>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</si>
  <si>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</si>
  <si>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</si>
  <si>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</si>
  <si>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</si>
  <si>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</si>
  <si>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</si>
  <si>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</si>
  <si>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</si>
  <si>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</si>
  <si>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</si>
  <si>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</si>
  <si>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</si>
  <si>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</si>
  <si>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</si>
  <si>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</si>
  <si>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</si>
  <si>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</si>
  <si>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</si>
  <si>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</si>
  <si>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</si>
  <si>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</si>
  <si>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</si>
  <si>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</si>
  <si>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</si>
  <si>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</si>
  <si>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</si>
  <si>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</si>
  <si>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</si>
  <si>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</si>
  <si>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</si>
  <si>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</si>
  <si>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</si>
  <si>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</si>
  <si>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</si>
  <si>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</si>
  <si>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</si>
  <si>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</si>
  <si>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</si>
  <si>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</si>
  <si>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</si>
  <si>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</si>
  <si>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</si>
  <si>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</si>
  <si>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</si>
  <si>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</si>
  <si>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</si>
  <si>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</si>
  <si>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</si>
  <si>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</si>
  <si>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</si>
  <si>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</si>
  <si>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</si>
  <si>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</si>
  <si>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</si>
  <si>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</si>
  <si>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</si>
  <si>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</si>
  <si>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</si>
  <si>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</si>
  <si>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</si>
  <si>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</si>
  <si>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</si>
  <si>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</si>
  <si>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</si>
  <si>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</si>
  <si>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</si>
  <si>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</si>
  <si>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</si>
  <si>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</si>
  <si>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</si>
  <si>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</si>
  <si>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</si>
  <si>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</si>
  <si>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</si>
  <si>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</si>
  <si>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</si>
  <si>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</si>
  <si>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</si>
  <si>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</si>
  <si>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</si>
  <si>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</si>
  <si>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</si>
  <si>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</si>
  <si>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</si>
  <si>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</si>
  <si>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</si>
  <si>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</si>
  <si>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</si>
  <si>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</si>
  <si>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</si>
  <si>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</si>
  <si>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</si>
  <si>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</si>
  <si>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</si>
  <si>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</si>
  <si>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</si>
  <si>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</si>
  <si>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</si>
  <si>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</si>
  <si>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</si>
  <si>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</si>
  <si>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</si>
  <si>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</si>
  <si>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</si>
  <si>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</si>
  <si>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</si>
  <si>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</si>
  <si>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</si>
  <si>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</si>
  <si>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</si>
  <si>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</si>
  <si>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</si>
  <si>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</si>
  <si>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</si>
  <si>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</si>
  <si>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</si>
  <si>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</si>
  <si>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</si>
  <si>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</si>
  <si>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</si>
  <si>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</si>
  <si>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</si>
  <si>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</si>
  <si>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</si>
  <si>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</si>
  <si>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</si>
  <si>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</si>
  <si>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</si>
  <si>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</si>
  <si>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</si>
  <si>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</si>
  <si>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</si>
  <si>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</si>
  <si>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</si>
  <si>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</si>
  <si>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</si>
  <si>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</si>
  <si>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</si>
  <si>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</si>
  <si>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</si>
  <si>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</si>
  <si>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</si>
  <si>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</si>
  <si>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</si>
  <si>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</si>
  <si>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</si>
  <si>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</si>
  <si>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</si>
  <si>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</si>
  <si>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</si>
  <si>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</si>
  <si>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</si>
  <si>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</si>
  <si>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</si>
  <si>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</si>
  <si>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</si>
  <si>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</si>
  <si>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</si>
  <si>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</si>
  <si>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</si>
  <si>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</si>
  <si>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</si>
  <si>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</si>
  <si>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</si>
  <si>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</si>
  <si>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</si>
  <si>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</si>
  <si>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</si>
  <si>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</si>
  <si>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</si>
  <si>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</si>
  <si>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</si>
  <si>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</si>
  <si>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</si>
  <si>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</si>
  <si>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</si>
  <si>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</si>
  <si>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</si>
  <si>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</si>
  <si>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</si>
  <si>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</si>
  <si>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</si>
  <si>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</si>
  <si>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</si>
  <si>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</si>
  <si>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</si>
  <si>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</si>
  <si>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</si>
  <si>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</si>
  <si>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</si>
  <si>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</si>
  <si>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</si>
  <si>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</si>
  <si>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</si>
  <si>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</si>
  <si>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</si>
  <si>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</si>
  <si>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</si>
  <si>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</si>
  <si>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</si>
  <si>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</si>
  <si>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</si>
  <si>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</si>
  <si>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</si>
  <si>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</si>
  <si>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</si>
  <si>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</si>
  <si>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</si>
  <si>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</si>
  <si>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</si>
  <si>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</si>
  <si>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</si>
  <si>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</si>
  <si>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</si>
  <si>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</si>
  <si>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</si>
  <si>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</si>
  <si>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</si>
  <si>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</si>
  <si>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</si>
  <si>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</si>
  <si>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</si>
  <si>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</si>
  <si>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</si>
  <si>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</si>
  <si>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</si>
  <si>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</si>
  <si>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</si>
  <si>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</si>
  <si>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</si>
  <si>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</si>
  <si>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</si>
  <si>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</si>
  <si>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</si>
  <si>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</si>
  <si>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</si>
  <si>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</si>
  <si>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</si>
  <si>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</si>
  <si>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</si>
  <si>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</si>
  <si>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</si>
  <si>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</si>
  <si>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</si>
  <si>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</si>
  <si>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</si>
  <si>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</si>
  <si>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</si>
  <si>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</si>
  <si>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</si>
  <si>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</si>
  <si>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</si>
  <si>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</si>
  <si>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</si>
  <si>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</si>
  <si>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</si>
  <si>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</si>
  <si>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</si>
  <si>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</si>
  <si>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</si>
  <si>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</si>
  <si>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</si>
  <si>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</si>
  <si>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</si>
  <si>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</si>
  <si>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</si>
  <si>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</si>
  <si>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</si>
  <si>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</si>
  <si>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</si>
  <si>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</si>
  <si>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</si>
  <si>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</si>
  <si>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</si>
  <si>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</si>
  <si>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</si>
  <si>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</si>
  <si>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</si>
  <si>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</si>
  <si>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</si>
  <si>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</si>
  <si>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</si>
  <si>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</si>
  <si>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</si>
  <si>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</si>
  <si>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</si>
  <si>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</si>
  <si>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</si>
  <si>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</si>
  <si>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</si>
  <si>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</si>
  <si>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</si>
  <si>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</si>
  <si>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</si>
  <si>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</si>
  <si>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</si>
  <si>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</si>
  <si>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</si>
  <si>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</si>
  <si>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</si>
  <si>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</si>
  <si>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</si>
  <si>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</si>
  <si>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</si>
  <si>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</si>
  <si>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</si>
  <si>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</si>
  <si>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</si>
  <si>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</si>
  <si>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</si>
  <si>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</si>
  <si>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</si>
  <si>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</si>
  <si>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</si>
  <si>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</si>
  <si>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</si>
  <si>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</si>
  <si>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</si>
  <si>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</si>
  <si>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</si>
  <si>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</si>
  <si>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</si>
  <si>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</si>
  <si>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</si>
  <si>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</si>
  <si>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</si>
  <si>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</si>
  <si>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</si>
  <si>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</si>
  <si>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</si>
  <si>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</si>
  <si>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</si>
  <si>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</si>
  <si>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</si>
  <si>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</si>
  <si>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</si>
  <si>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</si>
  <si>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</si>
  <si>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</si>
  <si>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</si>
  <si>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</si>
  <si>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</si>
  <si>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</si>
  <si>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</si>
  <si>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</si>
  <si>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</si>
  <si>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</si>
  <si>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</si>
  <si>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</si>
  <si>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</si>
  <si>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</si>
  <si>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</si>
  <si>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</si>
  <si>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</si>
  <si>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</si>
  <si>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</si>
  <si>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</si>
  <si>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</si>
  <si>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</si>
  <si>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</si>
  <si>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</si>
  <si>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</si>
  <si>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</si>
  <si>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</si>
  <si>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</si>
  <si>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</si>
  <si>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</si>
  <si>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</si>
  <si>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</si>
  <si>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</si>
  <si>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</si>
  <si>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</si>
  <si>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</si>
  <si>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</si>
  <si>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</si>
  <si>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</si>
  <si>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</si>
  <si>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</si>
  <si>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</si>
  <si>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</si>
  <si>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</si>
  <si>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</si>
  <si>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</si>
  <si>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</si>
  <si>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</si>
  <si>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</si>
  <si>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</si>
  <si>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</si>
  <si>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</si>
  <si>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</si>
  <si>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</si>
  <si>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</si>
  <si>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</si>
  <si>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</si>
  <si>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</si>
  <si>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</si>
  <si>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</si>
  <si>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</si>
  <si>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</si>
  <si>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</si>
  <si>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</si>
  <si>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</si>
  <si>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</si>
  <si>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</si>
  <si>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</si>
  <si>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</si>
  <si>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</si>
  <si>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</si>
  <si>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</si>
  <si>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</si>
  <si>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</si>
  <si>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</si>
  <si>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</si>
  <si>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</si>
  <si>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</si>
  <si>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</si>
  <si>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</si>
  <si>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</si>
  <si>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</si>
  <si>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</si>
  <si>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</si>
  <si>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</si>
  <si>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</si>
  <si>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</si>
  <si>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</si>
  <si>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</si>
  <si>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</si>
  <si>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</si>
  <si>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</si>
  <si>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</si>
  <si>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</si>
  <si>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</si>
  <si>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</si>
  <si>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</si>
  <si>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</si>
  <si>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</si>
  <si>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</si>
  <si>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</si>
  <si>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</si>
  <si>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</si>
  <si>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</si>
  <si>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</si>
  <si>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</si>
  <si>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</si>
  <si>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</si>
  <si>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</si>
  <si>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</si>
  <si>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</si>
  <si>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</si>
  <si>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</si>
  <si>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</si>
  <si>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</si>
  <si>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</si>
  <si>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</si>
  <si>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</si>
  <si>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</si>
  <si>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</si>
  <si>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</si>
  <si>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</si>
  <si>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</si>
  <si>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</si>
  <si>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</si>
  <si>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</si>
  <si>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</si>
  <si>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</si>
  <si>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</si>
  <si>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</si>
  <si>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</si>
  <si>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</si>
  <si>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</si>
  <si>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</si>
  <si>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</si>
  <si>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</si>
  <si>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</si>
  <si>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</si>
  <si>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</si>
  <si>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</si>
  <si>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</si>
  <si>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</si>
  <si>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</si>
  <si>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</si>
  <si>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</si>
  <si>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</si>
  <si>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</si>
  <si>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</si>
  <si>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</si>
  <si>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</si>
  <si>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</si>
  <si>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</si>
  <si>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</si>
  <si>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</si>
  <si>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</si>
  <si>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</si>
  <si>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</si>
  <si>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</si>
  <si>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</si>
  <si>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</si>
  <si>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</si>
  <si>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</si>
  <si>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</si>
  <si>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</si>
  <si>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</si>
  <si>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</si>
  <si>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</si>
  <si>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</si>
  <si>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</si>
  <si>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</si>
  <si>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</si>
  <si>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</si>
  <si>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</si>
  <si>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</si>
  <si>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</si>
  <si>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</si>
  <si>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</si>
  <si>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</si>
  <si>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</si>
  <si>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</si>
  <si>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</si>
  <si>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</si>
  <si>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</si>
  <si>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</si>
  <si>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</si>
  <si>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</si>
  <si>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</si>
  <si>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</si>
  <si>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</si>
  <si>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</si>
  <si>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</si>
  <si>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</si>
  <si>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</si>
  <si>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</si>
  <si>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</si>
  <si>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</si>
  <si>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</si>
  <si>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</si>
  <si>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</si>
  <si>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</si>
  <si>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</si>
  <si>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</si>
  <si>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</si>
  <si>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</si>
  <si>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</si>
  <si>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</si>
  <si>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</si>
  <si>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</si>
  <si>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</si>
  <si>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</si>
  <si>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</si>
  <si>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</si>
  <si>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</si>
  <si>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</si>
  <si>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</si>
  <si>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</si>
  <si>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</si>
  <si>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</si>
  <si>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</si>
  <si>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</si>
  <si>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</si>
  <si>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</si>
  <si>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</si>
  <si>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</si>
  <si>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</si>
  <si>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</si>
  <si>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</si>
  <si>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</si>
  <si>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</si>
  <si>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</si>
  <si>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</si>
  <si>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</si>
  <si>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</si>
  <si>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</si>
  <si>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</si>
  <si>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</si>
  <si>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</si>
  <si>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</si>
  <si>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</si>
  <si>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</si>
  <si>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</si>
  <si>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</si>
  <si>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</si>
  <si>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</si>
  <si>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</si>
  <si>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</si>
  <si>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</si>
  <si>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</si>
  <si>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</si>
  <si>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</si>
  <si>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</si>
  <si>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</si>
  <si>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</si>
  <si>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</si>
  <si>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</si>
  <si>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</si>
  <si>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</si>
  <si>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</si>
  <si>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</si>
  <si>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</si>
  <si>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</si>
  <si>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</si>
  <si>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</si>
  <si>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</si>
  <si>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</si>
  <si>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</si>
  <si>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</si>
  <si>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</si>
  <si>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</si>
  <si>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</si>
  <si>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</si>
  <si>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</si>
  <si>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</si>
  <si>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</si>
  <si>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</si>
  <si>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</si>
  <si>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</si>
  <si>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</si>
  <si>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</si>
  <si>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</si>
  <si>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</si>
  <si>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</si>
  <si>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</si>
  <si>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</si>
  <si>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</si>
  <si>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</si>
  <si>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</si>
  <si>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</si>
  <si>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</si>
  <si>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</si>
  <si>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</si>
  <si>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</si>
  <si>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</si>
  <si>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</si>
  <si>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</si>
  <si>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</si>
  <si>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</si>
  <si>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</si>
  <si>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</si>
  <si>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</si>
  <si>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</si>
  <si>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</si>
  <si>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</si>
  <si>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</si>
  <si>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</si>
  <si>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</si>
  <si>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</si>
  <si>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</si>
  <si>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</si>
  <si>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</si>
  <si>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</si>
  <si>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</si>
  <si>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</si>
  <si>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</si>
  <si>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</si>
  <si>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</si>
  <si>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</si>
  <si>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</si>
  <si>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</si>
  <si>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</si>
  <si>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</si>
  <si>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</si>
  <si>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</si>
  <si>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</si>
  <si>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</si>
  <si>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</si>
  <si>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</si>
  <si>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</si>
  <si>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</si>
  <si>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</si>
  <si>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</si>
  <si>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</si>
  <si>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</si>
  <si>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</si>
  <si>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</si>
  <si>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</si>
  <si>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</si>
  <si>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</si>
  <si>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</si>
  <si>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</si>
  <si>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</si>
  <si>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</si>
  <si>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</si>
  <si>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</si>
  <si>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</si>
  <si>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</si>
  <si>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</si>
  <si>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</si>
  <si>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</si>
  <si>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</si>
  <si>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</si>
  <si>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</si>
  <si>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</si>
  <si>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</si>
  <si>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</si>
  <si>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</si>
  <si>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</si>
  <si>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</si>
  <si>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</si>
  <si>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</si>
  <si>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</si>
  <si>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</si>
  <si>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</si>
  <si>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</si>
  <si>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</si>
  <si>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</si>
  <si>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</si>
  <si>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</si>
  <si>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</si>
  <si>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</si>
  <si>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</si>
  <si>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</si>
  <si>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</si>
  <si>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</si>
  <si>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</si>
  <si>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</si>
  <si>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</si>
  <si>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</si>
  <si>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</si>
  <si>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</si>
  <si>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</si>
  <si>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</si>
  <si>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</si>
  <si>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</si>
  <si>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</si>
  <si>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</si>
  <si>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</si>
  <si>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</si>
  <si>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</si>
  <si>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</si>
  <si>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</si>
  <si>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</si>
  <si>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</si>
  <si>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</si>
  <si>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</si>
  <si>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</si>
  <si>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</si>
  <si>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</si>
  <si>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</si>
  <si>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</si>
  <si>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</si>
  <si>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</si>
  <si>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</si>
  <si>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</si>
  <si>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</si>
  <si>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</si>
  <si>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</si>
  <si>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</si>
  <si>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</si>
  <si>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</si>
  <si>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</si>
  <si>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</si>
  <si>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</si>
  <si>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</si>
  <si>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</si>
  <si>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</si>
  <si>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</si>
  <si>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</si>
  <si>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</si>
  <si>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</si>
  <si>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</si>
  <si>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</si>
  <si>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</si>
  <si>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</si>
  <si>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</si>
  <si>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</si>
  <si>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</si>
  <si>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</si>
  <si>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</si>
  <si>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</si>
  <si>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</si>
  <si>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</si>
  <si>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</si>
  <si>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</si>
  <si>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</si>
  <si>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</si>
  <si>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</si>
  <si>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</si>
  <si>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</si>
  <si>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</si>
  <si>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</si>
  <si>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</si>
  <si>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</si>
  <si>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</si>
  <si>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</si>
  <si>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</si>
  <si>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</si>
  <si>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</si>
  <si>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</si>
  <si>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</si>
  <si>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</si>
  <si>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</si>
  <si>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</si>
  <si>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</si>
  <si>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</si>
  <si>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</si>
  <si>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</si>
  <si>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</si>
  <si>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</si>
  <si>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</si>
  <si>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</si>
  <si>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</si>
  <si>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</si>
  <si>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</si>
  <si>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</si>
  <si>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</si>
  <si>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</si>
  <si>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</si>
  <si>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</si>
  <si>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</si>
  <si>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</si>
  <si>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</si>
  <si>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</si>
  <si>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</si>
  <si>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</si>
  <si>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</si>
  <si>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</si>
  <si>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</si>
  <si>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</si>
  <si>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</si>
  <si>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</si>
  <si>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</si>
  <si>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</si>
  <si>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</si>
  <si>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</si>
  <si>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</si>
  <si>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</si>
  <si>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</si>
  <si>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</si>
  <si>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</si>
  <si>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</si>
  <si>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</si>
  <si>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</si>
  <si>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</si>
  <si>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</si>
  <si>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</si>
  <si>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</si>
  <si>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</si>
  <si>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</si>
  <si>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</si>
  <si>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</si>
  <si>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</si>
  <si>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</si>
  <si>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</si>
  <si>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</si>
  <si>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</si>
  <si>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</si>
  <si>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</si>
  <si>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</si>
  <si>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</si>
  <si>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</si>
  <si>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</si>
  <si>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</si>
  <si>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</si>
  <si>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</si>
  <si>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</si>
  <si>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</si>
  <si>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</si>
  <si>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</si>
  <si>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</si>
  <si>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</si>
  <si>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</si>
  <si>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</si>
  <si>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</si>
  <si>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</si>
  <si>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</si>
  <si>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</si>
  <si>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</si>
  <si>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</si>
  <si>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</si>
  <si>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</si>
  <si>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</si>
  <si>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</si>
  <si>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</si>
  <si>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</si>
  <si>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</si>
  <si>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</si>
  <si>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</si>
  <si>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</si>
  <si>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</si>
  <si>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</si>
  <si>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</si>
  <si>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</si>
  <si>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</si>
  <si>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</si>
  <si>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</si>
  <si>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</si>
  <si>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</si>
  <si>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</si>
  <si>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</si>
  <si>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</si>
  <si>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</si>
  <si>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</si>
  <si>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</si>
  <si>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</si>
  <si>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</si>
  <si>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</si>
  <si>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</si>
  <si>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</si>
  <si>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</si>
  <si>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</si>
  <si>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</si>
  <si>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</si>
  <si>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</si>
  <si>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</si>
  <si>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</si>
  <si>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</si>
  <si>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</si>
  <si>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</si>
  <si>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</si>
  <si>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</si>
  <si>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</si>
  <si>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</si>
  <si>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</si>
  <si>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</si>
  <si>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</si>
  <si>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</si>
  <si>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</si>
  <si>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</si>
  <si>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</si>
  <si>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</si>
  <si>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</si>
  <si>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</si>
  <si>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</si>
  <si>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</si>
  <si>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</si>
  <si>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</si>
  <si>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</si>
  <si>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</si>
  <si>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</si>
  <si>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</si>
  <si>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</si>
  <si>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</si>
  <si>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</si>
  <si>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</si>
  <si>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</si>
  <si>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</si>
  <si>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</si>
  <si>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</si>
  <si>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</si>
  <si>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</si>
  <si>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</si>
  <si>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</si>
  <si>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</si>
  <si>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</si>
  <si>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</si>
  <si>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</si>
  <si>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</si>
  <si>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</si>
  <si>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</si>
  <si>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</si>
  <si>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</si>
  <si>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</si>
  <si>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</si>
  <si>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</si>
  <si>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</si>
  <si>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</si>
  <si>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</si>
  <si>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</si>
  <si>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</si>
  <si>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</si>
  <si>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</si>
  <si>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</si>
  <si>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</si>
  <si>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</si>
  <si>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</si>
  <si>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</si>
  <si>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</si>
  <si>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</si>
  <si>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</si>
  <si>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</si>
  <si>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</si>
  <si>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</si>
  <si>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</si>
  <si>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</si>
  <si>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</si>
  <si>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</si>
  <si>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</si>
  <si>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</si>
  <si>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</si>
  <si>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</si>
  <si>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</si>
  <si>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</si>
  <si>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</si>
  <si>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</si>
  <si>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</si>
  <si>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</si>
  <si>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</si>
  <si>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</si>
  <si>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</si>
  <si>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</si>
  <si>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</si>
  <si>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</si>
  <si>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</si>
  <si>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</si>
  <si>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</si>
  <si>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</si>
  <si>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</si>
  <si>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</si>
  <si>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</si>
  <si>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</si>
  <si>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</si>
  <si>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</si>
  <si>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</si>
  <si>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</si>
  <si>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</si>
  <si>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</si>
  <si>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</si>
  <si>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</si>
  <si>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</si>
  <si>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</si>
  <si>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</si>
  <si>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</si>
  <si>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</si>
  <si>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</si>
  <si>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</si>
  <si>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</si>
  <si>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</si>
  <si>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</si>
  <si>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</si>
  <si>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</si>
  <si>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</si>
  <si>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</si>
  <si>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</si>
  <si>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</si>
  <si>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</si>
  <si>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</si>
  <si>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</si>
  <si>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</si>
  <si>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</si>
  <si>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</si>
  <si>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</si>
  <si>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</si>
  <si>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</si>
  <si>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</si>
  <si>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</si>
  <si>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</si>
  <si>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</si>
  <si>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</si>
  <si>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</si>
  <si>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</si>
  <si>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</si>
  <si>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</si>
  <si>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</si>
  <si>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</si>
  <si>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</si>
  <si>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</si>
  <si>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</si>
  <si>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</si>
  <si>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</si>
  <si>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</si>
  <si>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</si>
  <si>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</si>
  <si>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</si>
  <si>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</si>
  <si>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</si>
  <si>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</si>
  <si>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</si>
  <si>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</si>
  <si>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</si>
  <si>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</si>
  <si>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</si>
  <si>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</si>
  <si>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</si>
  <si>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</si>
  <si>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</si>
  <si>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</si>
  <si>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</si>
  <si>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</si>
  <si>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</si>
  <si>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</si>
  <si>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</si>
  <si>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</si>
  <si>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</si>
  <si>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</si>
  <si>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</si>
  <si>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</si>
  <si>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</si>
  <si>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</si>
  <si>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</si>
  <si>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</si>
  <si>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</si>
  <si>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</si>
  <si>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</si>
  <si>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</si>
  <si>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</si>
  <si>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</si>
  <si>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</si>
  <si>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</si>
  <si>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</si>
  <si>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</si>
  <si>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</si>
  <si>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</si>
  <si>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</si>
  <si>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</si>
  <si>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</si>
  <si>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</si>
  <si>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</si>
  <si>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</si>
  <si>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</si>
  <si>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</si>
  <si>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</si>
  <si>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</si>
  <si>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</si>
  <si>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</si>
  <si>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</si>
  <si>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</si>
  <si>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</si>
  <si>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</si>
  <si>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</si>
  <si>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</si>
  <si>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</si>
  <si>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</si>
  <si>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</si>
  <si>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</si>
  <si>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</si>
  <si>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</si>
  <si>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</si>
  <si>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</si>
  <si>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</si>
  <si>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</si>
  <si>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</si>
  <si>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</si>
  <si>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</si>
  <si>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</si>
  <si>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</si>
  <si>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</si>
  <si>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</si>
  <si>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</si>
  <si>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</si>
  <si>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</si>
  <si>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</si>
  <si>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</si>
  <si>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</si>
  <si>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</si>
  <si>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</si>
  <si>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</si>
  <si>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</si>
  <si>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</si>
  <si>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</si>
  <si>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</si>
  <si>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</si>
  <si>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</si>
  <si>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</si>
  <si>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</si>
  <si>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</si>
  <si>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</si>
  <si>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</si>
  <si>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</si>
  <si>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</si>
  <si>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</si>
  <si>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</si>
  <si>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</si>
  <si>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</si>
  <si>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</si>
  <si>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</si>
  <si>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</si>
  <si>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</si>
  <si>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</si>
  <si>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</si>
  <si>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</si>
  <si>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</si>
  <si>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</si>
  <si>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</si>
  <si>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</si>
  <si>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</si>
  <si>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</si>
  <si>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</si>
  <si>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</si>
  <si>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</si>
  <si>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</si>
  <si>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</si>
  <si>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</si>
  <si>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</si>
  <si>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</si>
  <si>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</si>
  <si>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</si>
  <si>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</si>
  <si>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</si>
  <si>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</si>
  <si>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</si>
  <si>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</si>
  <si>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</si>
  <si>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</si>
  <si>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</si>
  <si>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</si>
  <si>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</si>
  <si>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</si>
  <si>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</si>
  <si>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</si>
  <si>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</si>
  <si>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</si>
  <si>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</si>
  <si>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</si>
  <si>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</si>
  <si>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</si>
  <si>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</si>
  <si>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</si>
  <si>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</si>
  <si>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</si>
  <si>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</si>
  <si>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</si>
  <si>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</si>
  <si>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</si>
  <si>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</si>
  <si>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</si>
  <si>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</si>
  <si>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</si>
  <si>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</si>
  <si>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</si>
  <si>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</si>
  <si>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</si>
  <si>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</si>
  <si>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</si>
  <si>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</si>
  <si>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</si>
  <si>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</si>
  <si>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</si>
  <si>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</si>
  <si>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</si>
  <si>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</si>
  <si>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</si>
  <si>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</si>
  <si>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</si>
  <si>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</si>
  <si>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</si>
  <si>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</si>
  <si>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</si>
  <si>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</si>
  <si>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</si>
  <si>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</si>
  <si>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</si>
  <si>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</si>
  <si>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</si>
  <si>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</si>
  <si>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</si>
  <si>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</si>
  <si>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</si>
  <si>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</si>
  <si>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</si>
  <si>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</si>
  <si>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</si>
  <si>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</si>
  <si>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</si>
  <si>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</si>
  <si>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</si>
  <si>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</si>
  <si>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</si>
  <si>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</si>
  <si>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</si>
  <si>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</si>
  <si>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</si>
  <si>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</si>
  <si>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</si>
  <si>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</si>
  <si>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</si>
  <si>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</si>
  <si>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</si>
  <si>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</si>
  <si>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</si>
  <si>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</si>
  <si>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</si>
  <si>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</si>
  <si>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</si>
  <si>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</si>
  <si>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</si>
  <si>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</si>
  <si>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</si>
  <si>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</si>
  <si>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</si>
  <si>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</si>
  <si>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</si>
  <si>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</si>
  <si>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</si>
  <si>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</si>
  <si>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</si>
  <si>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</si>
  <si>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</si>
  <si>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</si>
  <si>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</si>
  <si>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</si>
  <si>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</si>
  <si>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</si>
  <si>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</si>
  <si>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</si>
  <si>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</si>
  <si>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</si>
  <si>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</si>
  <si>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</si>
  <si>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</si>
  <si>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</si>
  <si>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</si>
  <si>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</si>
  <si>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</si>
  <si>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</si>
  <si>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</si>
  <si>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</si>
  <si>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</si>
  <si>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</si>
  <si>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</si>
  <si>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</si>
  <si>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</si>
  <si>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</si>
  <si>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</si>
  <si>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</si>
  <si>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</si>
  <si>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</si>
  <si>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</si>
  <si>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</si>
  <si>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</si>
  <si>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</si>
  <si>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</si>
  <si>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</si>
  <si>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</si>
  <si>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</si>
  <si>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</si>
  <si>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</si>
  <si>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</si>
  <si>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</si>
  <si>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</si>
  <si>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</si>
  <si>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</si>
  <si>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</si>
  <si>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</si>
  <si>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</si>
  <si>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</si>
  <si>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</si>
  <si>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</si>
  <si>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</si>
  <si>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</si>
  <si>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</si>
  <si>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</si>
  <si>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</si>
  <si>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</si>
  <si>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</si>
  <si>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</si>
  <si>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</si>
  <si>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</si>
  <si>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</si>
  <si>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</si>
  <si>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</si>
  <si>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</si>
  <si>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</si>
  <si>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</si>
  <si>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</si>
  <si>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</si>
  <si>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</si>
  <si>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</si>
  <si>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</si>
  <si>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</si>
  <si>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</si>
  <si>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</si>
  <si>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</si>
  <si>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</si>
  <si>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</si>
  <si>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</si>
  <si>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</si>
  <si>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</si>
  <si>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</si>
  <si>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</si>
  <si>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</si>
  <si>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</si>
  <si>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</si>
  <si>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</si>
  <si>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</si>
  <si>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</si>
  <si>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</si>
  <si>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</si>
  <si>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</si>
  <si>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</si>
  <si>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</si>
  <si>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</si>
  <si>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</si>
  <si>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</si>
  <si>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</si>
  <si>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</si>
  <si>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</si>
  <si>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</si>
  <si>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</si>
  <si>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</si>
  <si>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</si>
  <si>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</si>
  <si>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</si>
  <si>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</si>
  <si>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</si>
  <si>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</si>
  <si>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</si>
  <si>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</si>
  <si>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</si>
  <si>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</si>
  <si>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</si>
  <si>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</si>
  <si>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</si>
  <si>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</si>
  <si>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</si>
  <si>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</si>
  <si>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</si>
  <si>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</si>
  <si>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</si>
  <si>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</si>
  <si>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</si>
  <si>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</si>
  <si>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</si>
  <si>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</si>
  <si>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</si>
  <si>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</si>
  <si>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</si>
  <si>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</si>
  <si>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</si>
  <si>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</si>
  <si>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</si>
  <si>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</si>
  <si>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</si>
  <si>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</si>
  <si>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</si>
  <si>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</si>
  <si>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</si>
  <si>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</si>
  <si>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</si>
  <si>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</si>
  <si>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</si>
  <si>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</si>
  <si>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</si>
  <si>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</si>
  <si>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</si>
  <si>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</si>
  <si>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</si>
  <si>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</si>
  <si>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</si>
  <si>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</si>
  <si>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</si>
  <si>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</si>
  <si>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</si>
  <si>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</si>
  <si>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</si>
  <si>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</si>
  <si>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</si>
  <si>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</si>
  <si>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</si>
  <si>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</si>
  <si>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</si>
  <si>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</si>
  <si>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</si>
  <si>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</si>
  <si>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</si>
  <si>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</si>
  <si>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</si>
  <si>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</si>
  <si>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</si>
  <si>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</si>
  <si>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</si>
  <si>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</si>
  <si>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</si>
  <si>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</si>
  <si>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</si>
  <si>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</si>
  <si>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</si>
  <si>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</si>
  <si>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</si>
  <si>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</si>
  <si>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</si>
  <si>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</si>
  <si>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</si>
  <si>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</si>
  <si>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</si>
  <si>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</si>
  <si>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</si>
  <si>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</si>
  <si>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</si>
  <si>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</si>
  <si>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</si>
  <si>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</si>
  <si>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</si>
  <si>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</si>
  <si>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</si>
  <si>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</si>
  <si>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</si>
  <si>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</si>
  <si>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</si>
  <si>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</si>
  <si>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</si>
  <si>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</si>
  <si>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</si>
  <si>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</si>
  <si>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</si>
  <si>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</si>
  <si>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</si>
  <si>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</si>
  <si>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</si>
  <si>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</si>
  <si>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</si>
  <si>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</si>
  <si>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</si>
  <si>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</si>
  <si>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</si>
  <si>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</si>
  <si>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</si>
  <si>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</si>
  <si>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</si>
  <si>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</si>
  <si>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</si>
  <si>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</si>
  <si>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</si>
  <si>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</si>
  <si>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</si>
  <si>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</si>
  <si>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</si>
  <si>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</si>
  <si>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</si>
  <si>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</si>
  <si>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</si>
  <si>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</si>
  <si>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</si>
  <si>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</si>
  <si>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</si>
  <si>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</si>
  <si>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</si>
  <si>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</si>
  <si>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</si>
  <si>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</si>
  <si>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</si>
  <si>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</si>
  <si>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</si>
  <si>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</si>
  <si>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</si>
  <si>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</si>
  <si>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</si>
  <si>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</si>
  <si>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</si>
  <si>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</si>
  <si>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</si>
  <si>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</si>
  <si>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</si>
  <si>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</si>
  <si>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</si>
  <si>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</si>
  <si>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</si>
  <si>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</si>
  <si>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</si>
  <si>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</si>
  <si>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</si>
  <si>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</si>
  <si>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</si>
  <si>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</si>
  <si>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</si>
  <si>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</si>
  <si>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</si>
  <si>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</si>
  <si>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</si>
  <si>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</si>
  <si>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</si>
  <si>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</si>
  <si>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</si>
  <si>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</si>
  <si>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</si>
  <si>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</si>
  <si>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</si>
  <si>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</si>
  <si>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</si>
  <si>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</si>
  <si>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</si>
  <si>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</si>
  <si>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</si>
  <si>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</si>
  <si>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</si>
  <si>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</si>
  <si>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</si>
  <si>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</si>
  <si>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</si>
  <si>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</si>
  <si>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</si>
  <si>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</si>
  <si>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</si>
  <si>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</si>
  <si>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</si>
  <si>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</si>
  <si>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</si>
  <si>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</si>
  <si>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</si>
  <si>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</si>
  <si>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</si>
  <si>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</si>
  <si>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</si>
  <si>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</si>
  <si>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</si>
  <si>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</si>
  <si>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</si>
  <si>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</si>
  <si>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</si>
  <si>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</si>
  <si>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</si>
  <si>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</si>
  <si>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</si>
  <si>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</si>
  <si>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</si>
  <si>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</si>
  <si>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</si>
  <si>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</si>
  <si>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</si>
  <si>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</si>
  <si>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</si>
  <si>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</si>
  <si>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</si>
  <si>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</si>
  <si>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</si>
  <si>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</si>
  <si>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</si>
  <si>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</si>
  <si>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</si>
  <si>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</si>
  <si>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</si>
  <si>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</si>
  <si>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</si>
  <si>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</si>
  <si>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</si>
  <si>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</si>
  <si>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</si>
  <si>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</si>
  <si>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</si>
  <si>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</si>
  <si>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</si>
  <si>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</si>
  <si>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</si>
  <si>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</si>
  <si>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</si>
  <si>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</si>
  <si>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</si>
  <si>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</si>
  <si>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</si>
  <si>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</si>
  <si>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</si>
  <si>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</si>
  <si>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</si>
  <si>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</si>
  <si>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</si>
  <si>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</si>
  <si>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</si>
  <si>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</si>
  <si>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</si>
  <si>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</si>
  <si>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</si>
  <si>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</si>
  <si>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</si>
  <si>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</si>
  <si>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</si>
  <si>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</si>
  <si>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</si>
  <si>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</si>
  <si>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</si>
  <si>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</si>
  <si>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</si>
  <si>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</si>
  <si>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</si>
  <si>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</si>
  <si>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</si>
  <si>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</si>
  <si>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</si>
  <si>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</si>
  <si>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</si>
  <si>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</si>
  <si>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</si>
  <si>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</si>
  <si>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</si>
  <si>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</si>
  <si>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</si>
  <si>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</si>
  <si>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</si>
  <si>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</si>
  <si>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</si>
  <si>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</si>
  <si>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</si>
  <si>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</si>
  <si>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</si>
  <si>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</si>
  <si>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</si>
  <si>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</si>
  <si>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</si>
  <si>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</si>
  <si>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</si>
  <si>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</si>
  <si>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</si>
  <si>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</si>
  <si>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</si>
  <si>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</si>
  <si>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</si>
  <si>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</si>
  <si>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</si>
  <si>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</si>
  <si>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</si>
  <si>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</si>
  <si>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</si>
  <si>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</si>
  <si>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</si>
  <si>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</si>
  <si>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</si>
  <si>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</si>
  <si>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</si>
  <si>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</si>
  <si>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</si>
  <si>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</si>
  <si>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</si>
  <si>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</si>
  <si>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</si>
  <si>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</si>
  <si>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</si>
  <si>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</si>
  <si>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</si>
  <si>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</si>
  <si>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</si>
  <si>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</si>
  <si>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</si>
  <si>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</si>
  <si>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</si>
  <si>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</si>
  <si>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</si>
  <si>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</si>
  <si>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</si>
  <si>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</si>
  <si>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</si>
  <si>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</si>
  <si>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</si>
  <si>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</si>
  <si>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</si>
  <si>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</si>
  <si>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</si>
  <si>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</si>
  <si>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</si>
  <si>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</si>
  <si>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</si>
  <si>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</si>
  <si>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</si>
  <si>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</si>
  <si>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</si>
  <si>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</si>
  <si>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</si>
  <si>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</si>
  <si>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</si>
  <si>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</si>
  <si>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</si>
  <si>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</si>
  <si>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</si>
  <si>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</si>
  <si>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</si>
  <si>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</si>
  <si>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</si>
  <si>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</si>
  <si>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</si>
  <si>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</si>
  <si>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</si>
  <si>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</si>
  <si>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</si>
  <si>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</si>
  <si>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</si>
  <si>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</si>
  <si>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</si>
  <si>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</si>
  <si>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</si>
  <si>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</si>
  <si>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</si>
  <si>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</si>
  <si>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</si>
  <si>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</si>
  <si>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</si>
  <si>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</si>
  <si>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</si>
  <si>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</si>
  <si>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</si>
  <si>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</si>
  <si>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</si>
  <si>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</si>
  <si>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</si>
  <si>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</si>
  <si>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</si>
  <si>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</si>
  <si>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</si>
  <si>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</si>
  <si>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</si>
  <si>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</si>
  <si>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</si>
  <si>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</si>
  <si>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</si>
  <si>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</si>
  <si>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</si>
  <si>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</si>
  <si>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</si>
  <si>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</si>
  <si>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</si>
  <si>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</si>
  <si>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</si>
  <si>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</si>
  <si>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</si>
  <si>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</si>
  <si>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</si>
  <si>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</si>
  <si>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</si>
  <si>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</si>
  <si>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</si>
  <si>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</si>
  <si>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</si>
  <si>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</si>
  <si>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</si>
  <si>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</si>
  <si>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</si>
  <si>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</si>
  <si>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</si>
  <si>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</si>
  <si>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</si>
  <si>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</si>
  <si>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</si>
  <si>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</si>
  <si>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</si>
  <si>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</si>
  <si>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</si>
  <si>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</si>
  <si>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</si>
  <si>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</si>
  <si>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</si>
  <si>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</si>
  <si>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</si>
  <si>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</si>
  <si>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</si>
  <si>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</si>
  <si>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</si>
  <si>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</si>
  <si>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</si>
  <si>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</si>
  <si>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</si>
  <si>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</si>
  <si>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</si>
  <si>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</si>
  <si>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</si>
  <si>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</si>
  <si>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</si>
  <si>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</si>
  <si>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</si>
  <si>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</si>
  <si>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</si>
  <si>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</si>
  <si>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</si>
  <si>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</si>
  <si>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</si>
  <si>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</si>
  <si>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</si>
  <si>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</si>
  <si>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</si>
  <si>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</si>
  <si>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</si>
  <si>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</si>
  <si>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</si>
  <si>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</si>
  <si>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</si>
  <si>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</si>
  <si>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</si>
  <si>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</si>
  <si>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</si>
  <si>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</si>
  <si>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</si>
  <si>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</si>
  <si>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</si>
  <si>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</si>
  <si>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</si>
  <si>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</si>
  <si>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</si>
  <si>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</si>
  <si>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</si>
  <si>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</si>
  <si>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</si>
  <si>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</si>
  <si>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</si>
  <si>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</si>
  <si>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</si>
  <si>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</si>
  <si>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</si>
  <si>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</si>
  <si>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</si>
  <si>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</si>
  <si>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</si>
  <si>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</si>
  <si>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</si>
  <si>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</si>
  <si>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</si>
  <si>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</si>
  <si>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</si>
  <si>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</si>
  <si>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</si>
  <si>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</si>
  <si>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</si>
  <si>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</si>
  <si>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</si>
  <si>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</si>
  <si>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</si>
  <si>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</si>
  <si>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</si>
  <si>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</si>
  <si>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</si>
  <si>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</si>
  <si>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</si>
  <si>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</si>
  <si>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</si>
  <si>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</si>
  <si>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</si>
  <si>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</si>
  <si>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</si>
  <si>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</si>
  <si>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</si>
  <si>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</si>
  <si>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</si>
  <si>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</si>
  <si>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</si>
  <si>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</si>
  <si>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</si>
  <si>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</si>
  <si>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</si>
  <si>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</si>
  <si>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</si>
  <si>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</si>
  <si>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</si>
  <si>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</si>
  <si>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</si>
  <si>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</si>
  <si>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</si>
  <si>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</si>
  <si>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</si>
  <si>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</si>
  <si>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</si>
  <si>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</si>
  <si>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</si>
  <si>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</si>
  <si>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</si>
  <si>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</si>
  <si>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</si>
  <si>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</si>
  <si>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</si>
  <si>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</si>
  <si>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</si>
  <si>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</si>
  <si>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</si>
  <si>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</si>
  <si>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</si>
  <si>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</si>
  <si>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</si>
  <si>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</si>
  <si>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</si>
  <si>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</si>
  <si>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</si>
  <si>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</si>
  <si>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</si>
  <si>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</si>
  <si>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</si>
  <si>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</si>
  <si>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</si>
  <si>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</si>
  <si>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</si>
  <si>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</si>
  <si>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</si>
  <si>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</si>
  <si>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</si>
  <si>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</si>
  <si>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</si>
  <si>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</si>
  <si>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</si>
  <si>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</si>
  <si>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</si>
  <si>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</si>
  <si>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</si>
  <si>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</si>
  <si>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</si>
  <si>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</si>
  <si>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</si>
  <si>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</si>
  <si>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</si>
  <si>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</si>
  <si>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</si>
  <si>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</si>
  <si>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</si>
  <si>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</si>
  <si>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</si>
  <si>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</si>
  <si>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</si>
  <si>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</si>
  <si>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</si>
  <si>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</si>
  <si>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</si>
  <si>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</si>
  <si>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</si>
  <si>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</si>
  <si>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</si>
  <si>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</si>
  <si>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</si>
  <si>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</si>
  <si>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</si>
  <si>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</si>
  <si>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</si>
  <si>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</si>
  <si>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</si>
  <si>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</si>
  <si>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</si>
  <si>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</si>
  <si>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</si>
  <si>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</si>
  <si>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</si>
  <si>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</si>
  <si>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</si>
  <si>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</si>
  <si>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</si>
  <si>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</si>
  <si>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</si>
  <si>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</si>
  <si>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</si>
  <si>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</si>
  <si>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</si>
  <si>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</si>
  <si>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</si>
  <si>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</si>
  <si>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</si>
  <si>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</si>
  <si>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</si>
  <si>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</si>
  <si>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</si>
  <si>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</si>
  <si>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</si>
  <si>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</si>
  <si>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</si>
  <si>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</si>
  <si>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</si>
  <si>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</si>
  <si>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</si>
  <si>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</si>
  <si>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</si>
  <si>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</si>
  <si>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</si>
  <si>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</si>
  <si>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</si>
  <si>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</si>
  <si>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</si>
  <si>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</si>
  <si>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</si>
  <si>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</si>
  <si>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</si>
  <si>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</si>
  <si>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</si>
  <si>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</si>
  <si>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</si>
  <si>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</si>
  <si>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</si>
  <si>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</si>
  <si>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</si>
  <si>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</si>
  <si>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</si>
  <si>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</si>
  <si>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</si>
  <si>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</si>
  <si>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</si>
  <si>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</si>
  <si>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</si>
  <si>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</si>
  <si>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</si>
  <si>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</si>
  <si>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</si>
  <si>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</si>
  <si>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</si>
  <si>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</si>
  <si>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</si>
  <si>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</si>
  <si>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</si>
  <si>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</si>
  <si>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</si>
  <si>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</si>
  <si>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</si>
  <si>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</si>
  <si>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</si>
  <si>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</si>
  <si>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</si>
  <si>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</si>
  <si>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</si>
  <si>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</si>
  <si>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</si>
  <si>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</si>
  <si>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</si>
  <si>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</si>
  <si>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</si>
  <si>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</si>
  <si>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</si>
  <si>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</si>
  <si>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</si>
  <si>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</si>
  <si>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</si>
  <si>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</si>
  <si>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</si>
  <si>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</si>
  <si>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</si>
  <si>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</si>
  <si>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</si>
  <si>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</si>
  <si>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</si>
  <si>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</si>
  <si>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</si>
  <si>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</si>
  <si>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</si>
  <si>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</si>
  <si>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</si>
  <si>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</si>
  <si>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</si>
  <si>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</si>
  <si>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</si>
  <si>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</si>
  <si>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</si>
  <si>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</si>
  <si>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</si>
  <si>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</si>
  <si>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</si>
  <si>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</si>
  <si>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</si>
  <si>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</si>
  <si>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</si>
  <si>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</si>
  <si>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</si>
  <si>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</si>
  <si>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</si>
  <si>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</si>
  <si>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</si>
  <si>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</si>
  <si>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</si>
  <si>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</si>
  <si>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</si>
  <si>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</si>
  <si>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</si>
  <si>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</si>
  <si>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</si>
  <si>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</si>
  <si>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</si>
  <si>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</si>
  <si>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</si>
  <si>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</si>
  <si>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</si>
  <si>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</si>
  <si>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</si>
  <si>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</si>
  <si>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</si>
  <si>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</si>
  <si>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</si>
  <si>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</si>
  <si>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</si>
  <si>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</si>
  <si>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</si>
  <si>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</si>
  <si>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</si>
  <si>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</si>
  <si>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</si>
  <si>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</si>
  <si>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</si>
  <si>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</si>
  <si>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</si>
  <si>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</si>
  <si>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</si>
  <si>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</si>
  <si>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</si>
  <si>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</si>
  <si>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</si>
  <si>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</si>
  <si>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</si>
  <si>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</si>
  <si>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</si>
  <si>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</si>
  <si>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</si>
  <si>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</si>
  <si>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</si>
  <si>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</si>
  <si>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</si>
  <si>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</si>
  <si>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</si>
  <si>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</si>
  <si>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</si>
  <si>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</si>
  <si>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</si>
  <si>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</si>
  <si>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</si>
  <si>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</si>
  <si>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</si>
  <si>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</si>
  <si>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</si>
  <si>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</si>
  <si>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</si>
  <si>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</si>
  <si>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</si>
  <si>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</si>
  <si>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</si>
  <si>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</si>
  <si>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</si>
  <si>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</si>
  <si>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</si>
  <si>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</si>
  <si>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</si>
  <si>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</si>
  <si>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</si>
  <si>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</si>
  <si>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</si>
  <si>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</si>
  <si>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</si>
  <si>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</si>
  <si>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</si>
  <si>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</si>
  <si>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</si>
  <si>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</si>
  <si>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</si>
  <si>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</si>
  <si>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</si>
  <si>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</si>
  <si>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</si>
  <si>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</si>
  <si>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</si>
  <si>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</si>
  <si>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</si>
  <si>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</si>
  <si>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</si>
  <si>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</si>
  <si>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</si>
  <si>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</si>
  <si>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</si>
  <si>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</si>
  <si>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</si>
  <si>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</si>
  <si>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</si>
  <si>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</si>
  <si>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</si>
  <si>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</si>
  <si>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</si>
  <si>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</si>
  <si>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</si>
  <si>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</si>
  <si>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</si>
  <si>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</si>
  <si>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</si>
  <si>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</si>
  <si>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</si>
  <si>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</si>
  <si>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</si>
  <si>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</si>
  <si>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</si>
  <si>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</si>
  <si>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</si>
  <si>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</si>
  <si>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</si>
  <si>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</si>
  <si>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</si>
  <si>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</si>
  <si>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</si>
  <si>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</si>
  <si>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</si>
  <si>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</si>
  <si>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</si>
  <si>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</si>
  <si>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</si>
  <si>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</si>
  <si>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</si>
  <si>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</si>
  <si>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</si>
  <si>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</si>
  <si>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</si>
  <si>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</si>
  <si>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</si>
  <si>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</si>
  <si>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</si>
  <si>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</si>
  <si>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</si>
  <si>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</si>
  <si>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</si>
  <si>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</si>
  <si>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</si>
  <si>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</si>
  <si>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</si>
  <si>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</si>
  <si>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</si>
  <si>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</si>
  <si>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</si>
  <si>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</si>
  <si>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</si>
  <si>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</si>
  <si>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</si>
  <si>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</si>
  <si>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</si>
  <si>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</si>
  <si>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</si>
  <si>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</si>
  <si>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</si>
  <si>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</si>
  <si>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</si>
  <si>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</si>
  <si>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</si>
  <si>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</si>
  <si>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</si>
  <si>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</si>
  <si>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</si>
  <si>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</si>
  <si>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</si>
  <si>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</si>
  <si>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</si>
  <si>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</si>
  <si>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</si>
  <si>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</si>
  <si>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</si>
  <si>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</si>
  <si>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</si>
  <si>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</si>
  <si>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</si>
  <si>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</si>
  <si>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</si>
  <si>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</si>
  <si>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</si>
  <si>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</si>
  <si>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</si>
  <si>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</si>
  <si>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</si>
  <si>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</si>
  <si>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</si>
  <si>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</si>
  <si>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</si>
  <si>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</si>
  <si>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</si>
  <si>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</si>
  <si>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</si>
  <si>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</si>
  <si>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</si>
  <si>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</si>
  <si>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</si>
  <si>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</si>
  <si>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</si>
  <si>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</si>
  <si>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</si>
  <si>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</si>
  <si>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</si>
  <si>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</si>
  <si>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</si>
  <si>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</si>
  <si>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</si>
  <si>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</si>
  <si>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</si>
  <si>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</si>
  <si>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</si>
  <si>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</si>
  <si>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</si>
  <si>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</si>
  <si>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</si>
  <si>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</si>
  <si>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</si>
  <si>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</si>
  <si>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</si>
  <si>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</si>
  <si>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</si>
  <si>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</si>
  <si>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</si>
  <si>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</si>
  <si>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</si>
  <si>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</si>
  <si>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</si>
  <si>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</si>
  <si>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</si>
  <si>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</si>
  <si>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</si>
  <si>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</si>
  <si>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</si>
  <si>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</si>
  <si>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</si>
  <si>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</si>
  <si>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</si>
  <si>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</si>
  <si>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</si>
  <si>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</si>
  <si>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</si>
  <si>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</si>
  <si>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</si>
  <si>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</si>
  <si>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</si>
  <si>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</si>
  <si>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</si>
  <si>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</si>
  <si>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</si>
  <si>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</si>
  <si>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</si>
  <si>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</si>
  <si>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</si>
  <si>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</si>
  <si>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</si>
  <si>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</si>
  <si>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</si>
  <si>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</si>
  <si>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</si>
  <si>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</si>
  <si>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</si>
  <si>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</si>
  <si>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</si>
  <si>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</si>
  <si>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</si>
  <si>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</si>
  <si>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</si>
  <si>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</si>
  <si>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</si>
  <si>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</si>
  <si>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</si>
  <si>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</si>
  <si>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</si>
  <si>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</si>
  <si>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</si>
  <si>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</si>
  <si>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</si>
  <si>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</si>
  <si>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</si>
  <si>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</si>
  <si>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</si>
  <si>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</si>
  <si>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</si>
  <si>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</si>
  <si>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</si>
  <si>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</si>
  <si>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</si>
  <si>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</si>
  <si>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</si>
  <si>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</si>
  <si>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</si>
  <si>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</si>
  <si>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</si>
  <si>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</si>
  <si>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</si>
  <si>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</si>
  <si>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</si>
  <si>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</si>
  <si>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</si>
  <si>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</si>
  <si>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</si>
  <si>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</si>
  <si>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</si>
  <si>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</si>
  <si>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</si>
  <si>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</si>
  <si>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</si>
  <si>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</si>
  <si>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</si>
  <si>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</si>
  <si>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</si>
  <si>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</si>
  <si>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</si>
  <si>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</si>
  <si>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</si>
  <si>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</si>
  <si>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</si>
  <si>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</si>
  <si>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</si>
  <si>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</si>
  <si>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</si>
  <si>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</si>
  <si>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</si>
  <si>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</si>
  <si>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</si>
  <si>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</si>
  <si>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</si>
  <si>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</si>
  <si>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</si>
  <si>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</si>
  <si>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</si>
  <si>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</si>
  <si>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</si>
  <si>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</si>
  <si>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</si>
  <si>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</si>
  <si>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</si>
  <si>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</si>
  <si>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</si>
  <si>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</si>
  <si>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</si>
  <si>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</si>
  <si>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</si>
  <si>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</si>
  <si>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</si>
  <si>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</si>
  <si>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</si>
  <si>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</si>
  <si>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</si>
  <si>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</si>
  <si>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</si>
  <si>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</si>
  <si>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</si>
  <si>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</si>
  <si>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</si>
  <si>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</si>
  <si>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</si>
  <si>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</si>
  <si>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</si>
  <si>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</si>
  <si>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</si>
  <si>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</si>
  <si>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</si>
  <si>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</si>
  <si>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</si>
  <si>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</si>
  <si>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</si>
  <si>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</si>
  <si>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</si>
  <si>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</si>
  <si>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</si>
  <si>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</si>
  <si>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</si>
  <si>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</si>
  <si>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</si>
  <si>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</si>
  <si>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</si>
  <si>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</si>
  <si>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</si>
  <si>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</si>
  <si>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</si>
  <si>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</si>
  <si>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</si>
  <si>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</si>
  <si>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</si>
  <si>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</si>
  <si>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</si>
  <si>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</si>
  <si>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</si>
  <si>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</si>
  <si>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</si>
  <si>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</si>
  <si>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</si>
  <si>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</si>
  <si>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</si>
  <si>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</si>
  <si>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</si>
  <si>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</si>
  <si>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</si>
  <si>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</si>
  <si>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</si>
  <si>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</si>
  <si>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</si>
  <si>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</si>
  <si>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</si>
  <si>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</si>
  <si>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</si>
  <si>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</si>
  <si>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</si>
  <si>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</si>
  <si>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</si>
  <si>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</si>
  <si>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</si>
  <si>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</si>
  <si>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</si>
  <si>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</si>
  <si>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</si>
  <si>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</si>
  <si>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</si>
  <si>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</si>
  <si>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</si>
  <si>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</si>
  <si>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</si>
  <si>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</si>
  <si>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</si>
  <si>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</si>
  <si>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</si>
  <si>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</si>
  <si>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</si>
  <si>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</si>
  <si>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</si>
  <si>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</si>
  <si>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</si>
  <si>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</si>
  <si>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</si>
  <si>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</si>
  <si>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</si>
  <si>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</si>
  <si>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</si>
  <si>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</si>
  <si>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</si>
  <si>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</si>
  <si>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</si>
  <si>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</si>
  <si>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</si>
  <si>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</si>
  <si>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</si>
  <si>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</si>
  <si>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</si>
  <si>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</si>
  <si>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</si>
  <si>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</si>
  <si>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</si>
  <si>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</si>
  <si>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</si>
  <si>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</si>
  <si>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</si>
  <si>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</si>
  <si>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</si>
  <si>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</si>
  <si>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</si>
  <si>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</si>
  <si>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</si>
  <si>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</si>
  <si>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</si>
  <si>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</si>
  <si>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</si>
  <si>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</si>
  <si>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</si>
  <si>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</si>
  <si>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</si>
  <si>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</si>
  <si>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</si>
  <si>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</si>
  <si>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</si>
  <si>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</si>
  <si>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</si>
  <si>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</si>
  <si>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</si>
  <si>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</si>
  <si>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</si>
  <si>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</si>
  <si>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</si>
  <si>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</si>
  <si>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</si>
  <si>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</si>
  <si>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</si>
  <si>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</si>
  <si>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</si>
  <si>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</si>
  <si>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</si>
  <si>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</si>
  <si>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</si>
  <si>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</si>
  <si>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</si>
  <si>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</si>
  <si>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</si>
  <si>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</si>
  <si>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</si>
  <si>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</si>
  <si>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</si>
  <si>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</si>
  <si>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</si>
  <si>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</si>
  <si>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</si>
  <si>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</si>
  <si>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</si>
  <si>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</si>
  <si>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</si>
  <si>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</si>
  <si>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</si>
  <si>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</si>
  <si>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</si>
  <si>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</si>
  <si>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</si>
  <si>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</si>
  <si>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</si>
  <si>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</si>
  <si>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</si>
  <si>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</si>
  <si>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</si>
  <si>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</si>
  <si>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</si>
  <si>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</si>
  <si>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</si>
  <si>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</si>
  <si>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</si>
  <si>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</si>
  <si>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</si>
  <si>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</si>
  <si>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</si>
  <si>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</si>
  <si>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</si>
  <si>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</si>
  <si>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</si>
  <si>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</si>
  <si>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</si>
  <si>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</si>
  <si>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</si>
  <si>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</si>
  <si>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</si>
  <si>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</si>
  <si>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</si>
  <si>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</si>
  <si>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</si>
  <si>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</si>
  <si>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</si>
  <si>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</si>
  <si>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</si>
  <si>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</si>
  <si>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</si>
  <si>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</si>
  <si>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</si>
  <si>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</si>
  <si>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</si>
  <si>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</si>
  <si>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</si>
  <si>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</si>
  <si>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</si>
  <si>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</si>
  <si>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</si>
  <si>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</si>
  <si>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</si>
  <si>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</si>
  <si>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</si>
  <si>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</si>
  <si>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</si>
  <si>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</si>
  <si>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</si>
  <si>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</si>
  <si>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</si>
  <si>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</si>
  <si>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</si>
  <si>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</si>
  <si>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</si>
  <si>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</si>
  <si>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</si>
  <si>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</si>
  <si>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</si>
  <si>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</si>
  <si>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</si>
  <si>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</si>
  <si>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</si>
  <si>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</si>
  <si>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</si>
  <si>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</si>
  <si>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</si>
  <si>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</si>
  <si>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</si>
  <si>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</si>
  <si>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</si>
  <si>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</si>
  <si>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</si>
  <si>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</si>
  <si>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</si>
  <si>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</si>
  <si>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</si>
  <si>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</si>
  <si>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</si>
  <si>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</si>
  <si>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</si>
  <si>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</si>
  <si>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</si>
  <si>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</si>
  <si>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</si>
  <si>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</si>
  <si>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</si>
  <si>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</si>
  <si>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</si>
  <si>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</si>
  <si>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</si>
  <si>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</si>
  <si>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</si>
  <si>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</si>
  <si>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</si>
  <si>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</si>
  <si>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</si>
  <si>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</si>
  <si>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</si>
  <si>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</si>
  <si>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</si>
  <si>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</si>
  <si>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</si>
  <si>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</si>
  <si>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</si>
  <si>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</si>
  <si>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</si>
  <si>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</si>
  <si>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</si>
  <si>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</si>
  <si>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</si>
  <si>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</si>
  <si>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</si>
  <si>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</si>
  <si>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</si>
  <si>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</si>
  <si>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</si>
  <si>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</si>
  <si>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</si>
  <si>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</si>
  <si>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</si>
  <si>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</si>
  <si>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</si>
  <si>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</si>
  <si>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</si>
  <si>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</si>
  <si>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</si>
  <si>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</si>
  <si>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</si>
  <si>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</si>
  <si>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</si>
  <si>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</si>
  <si>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</si>
  <si>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</si>
  <si>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</si>
  <si>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</si>
  <si>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</si>
  <si>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</si>
  <si>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</si>
  <si>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</si>
  <si>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</si>
  <si>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</si>
  <si>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</si>
  <si>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</si>
  <si>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</si>
  <si>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</si>
  <si>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</si>
  <si>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</si>
  <si>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</si>
  <si>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</si>
  <si>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</si>
  <si>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</si>
  <si>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</si>
  <si>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</si>
  <si>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</si>
  <si>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</si>
  <si>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</si>
  <si>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</si>
  <si>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</si>
  <si>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</si>
  <si>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</si>
  <si>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</si>
  <si>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</si>
  <si>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</si>
  <si>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</si>
  <si>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</si>
  <si>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</si>
  <si>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</si>
  <si>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</si>
  <si>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</si>
  <si>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</si>
  <si>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</si>
  <si>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</si>
  <si>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</si>
  <si>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</si>
  <si>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</si>
  <si>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</si>
  <si>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</si>
  <si>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</si>
  <si>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</si>
  <si>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</si>
  <si>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</si>
  <si>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</si>
  <si>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</si>
  <si>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</si>
  <si>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</si>
  <si>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</si>
  <si>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</si>
  <si>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</si>
  <si>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</si>
  <si>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</si>
  <si>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</si>
  <si>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</si>
  <si>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</si>
  <si>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</si>
  <si>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</si>
  <si>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</si>
  <si>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</si>
  <si>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</si>
  <si>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</si>
  <si>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</si>
  <si>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</si>
  <si>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</si>
  <si>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</si>
  <si>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</si>
  <si>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</si>
  <si>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</si>
  <si>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</si>
  <si>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</si>
  <si>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</si>
  <si>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</si>
  <si>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</si>
  <si>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</si>
  <si>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</si>
  <si>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</si>
  <si>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</si>
  <si>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</si>
  <si>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</si>
  <si>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</si>
  <si>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</si>
  <si>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</si>
  <si>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</si>
  <si>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</si>
  <si>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</si>
  <si>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</si>
  <si>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</si>
  <si>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</si>
  <si>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</si>
  <si>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</si>
  <si>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</si>
  <si>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</si>
  <si>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</si>
  <si>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</si>
  <si>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</si>
  <si>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</si>
  <si>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</si>
  <si>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</si>
  <si>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</si>
  <si>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</si>
  <si>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</si>
  <si>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</si>
  <si>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</si>
  <si>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</si>
  <si>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</si>
  <si>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</si>
  <si>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</si>
  <si>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</si>
  <si>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</si>
  <si>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</si>
  <si>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</si>
  <si>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</si>
  <si>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</si>
  <si>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</si>
  <si>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</si>
  <si>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</si>
  <si>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</si>
  <si>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</si>
  <si>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</si>
  <si>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</si>
  <si>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</si>
  <si>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</si>
  <si>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</si>
  <si>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</si>
  <si>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</si>
  <si>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</si>
  <si>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</si>
  <si>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</si>
  <si>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</si>
  <si>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</si>
  <si>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</si>
  <si>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</si>
  <si>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</si>
  <si>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</si>
  <si>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</si>
  <si>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</si>
  <si>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</si>
  <si>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</si>
  <si>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</si>
  <si>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</si>
  <si>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</si>
  <si>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</si>
  <si>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</si>
  <si>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</si>
  <si>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</si>
  <si>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</si>
  <si>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</si>
  <si>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</si>
  <si>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</si>
  <si>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</si>
  <si>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</si>
  <si>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</si>
  <si>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</si>
  <si>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</si>
  <si>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</si>
  <si>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</si>
  <si>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</si>
  <si>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</si>
  <si>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</si>
  <si>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</si>
  <si>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</si>
  <si>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</si>
  <si>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</si>
  <si>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</si>
  <si>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</si>
  <si>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</si>
  <si>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</si>
  <si>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</si>
  <si>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</si>
  <si>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</si>
  <si>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</si>
  <si>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</si>
  <si>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</si>
  <si>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</si>
  <si>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</si>
  <si>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</si>
  <si>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</si>
  <si>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</si>
  <si>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</si>
  <si>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</si>
  <si>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</si>
  <si>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</si>
  <si>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</si>
  <si>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</si>
  <si>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</si>
  <si>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</si>
  <si>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</si>
  <si>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</si>
  <si>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</si>
  <si>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</si>
  <si>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</si>
  <si>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</si>
  <si>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</si>
  <si>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</si>
  <si>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</si>
  <si>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</si>
  <si>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</si>
  <si>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</si>
  <si>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</si>
  <si>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</si>
  <si>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</si>
  <si>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</si>
  <si>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</si>
  <si>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</si>
  <si>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</si>
  <si>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</si>
  <si>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</si>
  <si>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</si>
  <si>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</si>
  <si>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</si>
  <si>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</si>
  <si>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</si>
  <si>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</si>
  <si>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</si>
  <si>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</si>
  <si>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</si>
  <si>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</si>
  <si>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</si>
  <si>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</si>
  <si>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</si>
  <si>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</si>
  <si>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</si>
  <si>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</si>
  <si>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</si>
  <si>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</si>
  <si>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</si>
  <si>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</si>
  <si>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</si>
  <si>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</si>
  <si>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</si>
  <si>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</si>
  <si>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</si>
  <si>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</si>
  <si>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</si>
  <si>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</si>
  <si>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</si>
  <si>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</si>
  <si>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</si>
  <si>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</si>
  <si>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</si>
  <si>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</si>
  <si>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</si>
  <si>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</si>
  <si>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</si>
  <si>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</si>
  <si>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</si>
  <si>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</si>
  <si>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</si>
  <si>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</si>
  <si>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</si>
  <si>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</si>
  <si>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</si>
  <si>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</si>
  <si>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</si>
  <si>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</si>
  <si>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</si>
  <si>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</si>
  <si>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</si>
  <si>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</si>
  <si>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</si>
  <si>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</si>
  <si>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</si>
  <si>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</si>
  <si>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</si>
  <si>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</si>
  <si>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</si>
  <si>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</si>
  <si>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</si>
  <si>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</si>
  <si>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</si>
  <si>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</si>
  <si>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</si>
  <si>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</si>
  <si>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</si>
  <si>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</si>
  <si>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</si>
  <si>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</si>
  <si>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</si>
  <si>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</si>
  <si>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</si>
  <si>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</si>
  <si>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</si>
  <si>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</si>
  <si>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</si>
  <si>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</si>
  <si>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</si>
  <si>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</si>
  <si>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</si>
  <si>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</si>
  <si>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</si>
  <si>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</si>
  <si>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</si>
  <si>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</si>
  <si>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</si>
  <si>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</si>
  <si>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</si>
  <si>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</si>
  <si>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</si>
  <si>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</si>
  <si>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</si>
  <si>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</si>
  <si>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</si>
  <si>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</si>
  <si>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</si>
  <si>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</si>
  <si>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</si>
  <si>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</si>
  <si>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</si>
  <si>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</si>
  <si>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</si>
  <si>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</si>
  <si>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</si>
  <si>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</si>
  <si>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</si>
  <si>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</si>
  <si>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</si>
  <si>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</si>
  <si>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</si>
  <si>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</si>
  <si>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</si>
  <si>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</si>
  <si>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</si>
  <si>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</si>
  <si>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</si>
  <si>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</si>
  <si>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</si>
  <si>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</si>
  <si>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</si>
  <si>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</si>
  <si>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</si>
  <si>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</si>
  <si>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</si>
  <si>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</si>
  <si>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</si>
  <si>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</si>
  <si>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</si>
  <si>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</si>
  <si>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</si>
  <si>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</si>
  <si>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</si>
  <si>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</si>
  <si>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</si>
  <si>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</si>
  <si>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</si>
  <si>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</si>
  <si>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</si>
  <si>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</si>
  <si>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</si>
  <si>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</si>
  <si>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</si>
  <si>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</si>
  <si>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</si>
  <si>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</si>
  <si>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</si>
  <si>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</si>
  <si>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</si>
  <si>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</si>
  <si>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</si>
  <si>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</si>
  <si>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</si>
  <si>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</si>
  <si>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</si>
  <si>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</si>
  <si>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</si>
  <si>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</si>
  <si>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</si>
  <si>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</si>
  <si>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</si>
  <si>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</si>
  <si>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</si>
  <si>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</si>
  <si>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</si>
  <si>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</si>
  <si>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</si>
  <si>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</si>
  <si>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</si>
  <si>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</si>
  <si>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</si>
  <si>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</si>
  <si>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</si>
  <si>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</si>
  <si>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</si>
  <si>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</si>
  <si>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</si>
  <si>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</si>
  <si>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</si>
  <si>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</si>
  <si>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</si>
  <si>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</si>
  <si>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</si>
  <si>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</si>
  <si>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</si>
  <si>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</si>
  <si>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</si>
  <si>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</si>
  <si>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</si>
  <si>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</si>
  <si>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</si>
  <si>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</si>
  <si>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</si>
  <si>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</si>
  <si>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</si>
  <si>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</si>
  <si>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</si>
  <si>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</si>
  <si>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</si>
  <si>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</si>
  <si>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</si>
  <si>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</si>
  <si>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</si>
  <si>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</si>
  <si>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</si>
  <si>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</si>
  <si>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</si>
  <si>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</si>
  <si>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</si>
  <si>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</si>
  <si>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</si>
  <si>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</si>
  <si>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</si>
  <si>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</si>
  <si>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</si>
  <si>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</si>
  <si>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</si>
  <si>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</si>
  <si>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</si>
  <si>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</si>
  <si>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</si>
  <si>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</si>
  <si>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</si>
  <si>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</si>
  <si>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</si>
  <si>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</si>
  <si>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</si>
  <si>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</si>
  <si>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</si>
  <si>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</si>
  <si>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</si>
  <si>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</si>
  <si>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</si>
  <si>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</si>
  <si>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</si>
  <si>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</si>
  <si>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</si>
  <si>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</si>
  <si>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</si>
  <si>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</si>
  <si>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</si>
  <si>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</si>
  <si>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</si>
  <si>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</si>
  <si>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</si>
  <si>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</si>
  <si>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</si>
  <si>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</si>
  <si>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</si>
  <si>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</si>
  <si>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</si>
  <si>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</si>
  <si>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</si>
  <si>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</si>
  <si>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</si>
  <si>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</si>
  <si>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</si>
  <si>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</si>
  <si>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</si>
  <si>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</si>
  <si>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</si>
  <si>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</si>
  <si>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</si>
  <si>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</si>
  <si>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</si>
  <si>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</si>
  <si>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</si>
  <si>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</si>
  <si>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</si>
  <si>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</si>
  <si>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</si>
  <si>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</si>
  <si>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</si>
  <si>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</si>
  <si>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</si>
  <si>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</si>
  <si>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</si>
  <si>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</si>
  <si>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</si>
  <si>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</si>
  <si>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</si>
  <si>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</si>
  <si>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</si>
  <si>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</si>
  <si>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</si>
  <si>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</si>
  <si>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</si>
  <si>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</si>
  <si>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</si>
  <si>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</si>
  <si>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</si>
  <si>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</si>
  <si>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</si>
  <si>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</si>
  <si>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</si>
  <si>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</si>
  <si>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</si>
  <si>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</si>
  <si>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</si>
  <si>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</si>
  <si>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</si>
  <si>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</si>
  <si>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</si>
  <si>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</si>
  <si>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</si>
  <si>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</si>
  <si>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</si>
  <si>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</si>
  <si>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</si>
  <si>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</si>
  <si>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</si>
  <si>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</si>
  <si>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</si>
  <si>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</si>
  <si>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</si>
  <si>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</si>
  <si>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</si>
  <si>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</si>
  <si>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</si>
  <si>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</si>
  <si>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</si>
  <si>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</si>
  <si>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</si>
  <si>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</si>
  <si>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</si>
  <si>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</si>
  <si>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</si>
  <si>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</si>
  <si>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</si>
  <si>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</si>
  <si>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</si>
  <si>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</si>
  <si>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</si>
  <si>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</si>
  <si>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</si>
  <si>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</si>
  <si>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</si>
  <si>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</si>
  <si>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</si>
  <si>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</si>
  <si>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</si>
  <si>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</si>
  <si>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</si>
  <si>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</si>
  <si>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</si>
  <si>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</si>
  <si>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</si>
  <si>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</si>
  <si>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</si>
  <si>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</si>
  <si>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</si>
  <si>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</si>
  <si>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</si>
  <si>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</si>
  <si>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</si>
  <si>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</si>
  <si>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</si>
  <si>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</si>
  <si>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</si>
  <si>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</si>
  <si>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</si>
  <si>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</si>
  <si>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</si>
  <si>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</si>
  <si>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</si>
  <si>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</si>
  <si>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</si>
  <si>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</si>
  <si>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</si>
  <si>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</si>
  <si>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</si>
  <si>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</si>
  <si>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</si>
  <si>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</si>
  <si>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</si>
  <si>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</si>
  <si>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</si>
  <si>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</si>
  <si>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</si>
  <si>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</si>
  <si>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</si>
  <si>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</si>
  <si>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</si>
  <si>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</si>
  <si>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</si>
  <si>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</si>
  <si>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</si>
  <si>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</si>
  <si>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</si>
  <si>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</si>
  <si>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</si>
  <si>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</si>
  <si>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</si>
  <si>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</si>
  <si>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</si>
  <si>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</si>
  <si>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</si>
  <si>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</si>
  <si>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</si>
  <si>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</si>
  <si>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</si>
  <si>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</si>
  <si>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</si>
  <si>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</si>
  <si>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</si>
  <si>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</si>
  <si>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</si>
  <si>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</si>
  <si>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</si>
  <si>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</si>
  <si>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</si>
  <si>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</si>
  <si>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</si>
  <si>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</si>
  <si>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</si>
  <si>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</si>
  <si>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</si>
  <si>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</si>
  <si>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</si>
  <si>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</si>
  <si>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</si>
  <si>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</si>
  <si>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</si>
  <si>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</si>
  <si>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</si>
  <si>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</si>
  <si>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</si>
  <si>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</si>
  <si>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</si>
  <si>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</si>
  <si>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</si>
  <si>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</si>
  <si>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</si>
  <si>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</si>
  <si>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</si>
  <si>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</si>
  <si>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</si>
  <si>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</si>
  <si>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</si>
  <si>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</si>
  <si>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</si>
  <si>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</si>
  <si>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</si>
  <si>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</si>
  <si>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</si>
  <si>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</si>
  <si>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</si>
  <si>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</si>
  <si>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</si>
  <si>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</si>
  <si>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</si>
  <si>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</si>
  <si>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</si>
  <si>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</si>
  <si>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</si>
  <si>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</si>
  <si>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</si>
  <si>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</si>
  <si>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</si>
  <si>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</si>
  <si>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</si>
  <si>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</si>
  <si>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</si>
  <si>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</si>
  <si>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</si>
  <si>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</si>
  <si>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</si>
  <si>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</si>
  <si>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</si>
  <si>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</si>
  <si>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</si>
  <si>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</si>
  <si>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</si>
  <si>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</si>
  <si>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</si>
  <si>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</si>
  <si>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</si>
  <si>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</si>
  <si>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</si>
  <si>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</si>
  <si>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</si>
  <si>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</si>
  <si>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</si>
  <si>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</si>
  <si>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</si>
  <si>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</si>
  <si>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</si>
  <si>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</si>
  <si>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</si>
  <si>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</si>
  <si>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</si>
  <si>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</si>
  <si>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</si>
  <si>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</si>
  <si>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</si>
  <si>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</si>
  <si>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</si>
  <si>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</si>
  <si>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</si>
  <si>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</si>
  <si>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</si>
  <si>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</si>
  <si>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</si>
  <si>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</si>
  <si>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</si>
  <si>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</si>
  <si>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</si>
  <si>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</si>
  <si>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</si>
  <si>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</si>
  <si>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</si>
  <si>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</si>
  <si>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</si>
  <si>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</si>
  <si>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</si>
  <si>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</si>
  <si>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</si>
  <si>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</si>
  <si>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</si>
  <si>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</si>
  <si>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</si>
  <si>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</si>
  <si>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</si>
  <si>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</si>
  <si>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</si>
  <si>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</si>
  <si>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</si>
  <si>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</si>
  <si>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</si>
  <si>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</si>
  <si>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</si>
  <si>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</si>
  <si>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</si>
  <si>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</si>
  <si>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</si>
  <si>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</si>
  <si>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</si>
  <si>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</si>
  <si>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</si>
  <si>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</si>
  <si>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</si>
  <si>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</si>
  <si>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</si>
  <si>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</si>
  <si>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</si>
  <si>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</si>
  <si>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</si>
  <si>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</si>
  <si>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</si>
  <si>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</si>
  <si>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</si>
  <si>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</si>
  <si>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</si>
  <si>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</si>
  <si>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</si>
  <si>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</si>
  <si>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</si>
  <si>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</si>
  <si>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</si>
  <si>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</si>
  <si>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</si>
  <si>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</si>
  <si>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</si>
  <si>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</si>
  <si>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</si>
  <si>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</si>
  <si>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</si>
  <si>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</si>
  <si>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</si>
  <si>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</si>
  <si>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</si>
  <si>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</si>
  <si>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</si>
  <si>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</si>
  <si>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</si>
  <si>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</si>
  <si>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</si>
  <si>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</si>
  <si>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</si>
  <si>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</si>
  <si>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</si>
  <si>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</si>
  <si>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</si>
  <si>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</si>
  <si>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</si>
  <si>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</si>
  <si>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</si>
  <si>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</si>
  <si>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</si>
  <si>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</si>
  <si>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</si>
  <si>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</si>
  <si>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</si>
  <si>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</si>
  <si>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</si>
  <si>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</si>
  <si>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</si>
  <si>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</si>
  <si>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</si>
  <si>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</si>
  <si>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</si>
  <si>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</si>
  <si>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</si>
  <si>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</si>
  <si>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</si>
  <si>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</si>
  <si>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</si>
  <si>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</si>
  <si>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</si>
  <si>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</si>
  <si>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</si>
  <si>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</si>
  <si>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</si>
  <si>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</si>
  <si>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</si>
  <si>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</si>
  <si>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</si>
  <si>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</si>
  <si>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</si>
  <si>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</si>
  <si>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</si>
  <si>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</si>
  <si>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</si>
  <si>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</si>
  <si>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</si>
  <si>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</si>
  <si>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</si>
  <si>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</si>
  <si>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</si>
  <si>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</si>
  <si>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</si>
  <si>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</si>
  <si>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</si>
  <si>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</si>
  <si>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</si>
  <si>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</si>
  <si>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</si>
  <si>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</si>
  <si>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</si>
  <si>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</si>
  <si>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</si>
  <si>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</si>
  <si>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</si>
  <si>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</si>
  <si>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</si>
  <si>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</si>
  <si>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</si>
  <si>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</si>
  <si>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</si>
  <si>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</si>
  <si>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</si>
  <si>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</si>
  <si>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</si>
  <si>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</si>
  <si>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</si>
  <si>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</si>
  <si>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</si>
  <si>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</si>
  <si>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</si>
  <si>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</si>
  <si>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</si>
  <si>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</si>
  <si>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</si>
  <si>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</si>
  <si>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</si>
  <si>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</si>
  <si>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</si>
  <si>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</si>
  <si>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</si>
  <si>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</si>
  <si>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</si>
  <si>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</si>
  <si>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</si>
  <si>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</si>
  <si>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</si>
  <si>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</si>
  <si>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</si>
  <si>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</si>
  <si>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</si>
  <si>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</si>
  <si>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</si>
  <si>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</si>
  <si>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</si>
  <si>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</si>
  <si>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</si>
  <si>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</si>
  <si>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</si>
  <si>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</si>
  <si>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</si>
  <si>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</si>
  <si>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</si>
  <si>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</si>
  <si>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</si>
  <si>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</si>
  <si>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</si>
  <si>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</si>
  <si>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</si>
  <si>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</si>
  <si>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</si>
  <si>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</si>
  <si>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</si>
  <si>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</si>
  <si>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</si>
  <si>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</si>
  <si>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</si>
  <si>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</si>
  <si>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</si>
  <si>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</si>
  <si>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</si>
  <si>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</si>
  <si>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</si>
  <si>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</si>
  <si>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</si>
  <si>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</si>
  <si>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</si>
  <si>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</si>
  <si>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</si>
  <si>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</si>
  <si>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</si>
  <si>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</si>
  <si>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</si>
  <si>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</si>
  <si>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</si>
  <si>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</si>
  <si>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</si>
  <si>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</si>
  <si>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</si>
  <si>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</si>
  <si>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</si>
  <si>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</si>
  <si>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</si>
  <si>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</si>
  <si>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</si>
  <si>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</si>
  <si>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</si>
  <si>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</si>
  <si>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</si>
  <si>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</si>
  <si>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</si>
  <si>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</si>
  <si>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</si>
  <si>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</si>
  <si>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</si>
  <si>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</si>
  <si>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</si>
  <si>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</si>
  <si>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</si>
  <si>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</si>
  <si>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</si>
  <si>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</si>
  <si>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</si>
  <si>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</si>
  <si>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</si>
  <si>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</si>
  <si>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</si>
  <si>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</si>
  <si>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</si>
  <si>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</si>
  <si>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</si>
  <si>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</si>
  <si>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</si>
  <si>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</si>
  <si>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</si>
  <si>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</si>
  <si>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</si>
  <si>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</si>
  <si>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</si>
  <si>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</si>
  <si>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</si>
  <si>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</si>
  <si>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</si>
  <si>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</si>
  <si>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</si>
  <si>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</si>
  <si>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</si>
  <si>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</si>
  <si>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</si>
  <si>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</si>
  <si>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</si>
  <si>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</si>
  <si>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</si>
  <si>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</si>
  <si>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</si>
  <si>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</si>
  <si>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</si>
  <si>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</si>
  <si>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</si>
  <si>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</si>
  <si>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</si>
  <si>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</si>
  <si>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</si>
  <si>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</si>
  <si>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</si>
  <si>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</si>
  <si>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</si>
  <si>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</si>
  <si>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</si>
  <si>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</si>
  <si>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</si>
  <si>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</si>
  <si>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</si>
  <si>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</si>
  <si>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</si>
  <si>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</si>
  <si>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</si>
  <si>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</si>
  <si>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</si>
  <si>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</si>
  <si>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</si>
  <si>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</si>
  <si>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</si>
  <si>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</si>
  <si>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</si>
  <si>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</si>
  <si>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</si>
  <si>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</si>
  <si>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</si>
  <si>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</si>
  <si>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</si>
  <si>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</si>
  <si>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</si>
  <si>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</si>
  <si>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</si>
  <si>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</si>
  <si>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</si>
  <si>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</si>
  <si>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</si>
  <si>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</si>
  <si>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</si>
  <si>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</si>
  <si>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</si>
  <si>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</si>
  <si>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</si>
  <si>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</si>
  <si>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</si>
  <si>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</si>
  <si>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</si>
  <si>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</si>
  <si>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</si>
  <si>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</si>
  <si>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</si>
  <si>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</si>
  <si>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</si>
  <si>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</si>
  <si>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</si>
  <si>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</si>
  <si>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</si>
  <si>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</si>
  <si>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</si>
  <si>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</si>
  <si>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</si>
  <si>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</si>
  <si>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</si>
  <si>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</si>
  <si>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</si>
  <si>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</si>
  <si>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</si>
  <si>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</si>
  <si>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</si>
  <si>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</si>
  <si>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</si>
  <si>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</si>
  <si>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</si>
  <si>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</si>
  <si>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</si>
  <si>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</si>
  <si>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</si>
  <si>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</si>
  <si>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</si>
  <si>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</si>
  <si>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</si>
  <si>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</si>
  <si>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</si>
  <si>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</si>
  <si>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</si>
  <si>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</si>
  <si>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</si>
  <si>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</si>
  <si>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</si>
  <si>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</si>
  <si>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</si>
  <si>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</si>
  <si>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</si>
  <si>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</si>
  <si>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</si>
  <si>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</si>
  <si>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</si>
  <si>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</si>
  <si>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</si>
  <si>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</si>
  <si>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</si>
  <si>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</si>
  <si>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</si>
  <si>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</si>
  <si>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</si>
  <si>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</si>
  <si>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</si>
  <si>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</si>
  <si>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</si>
  <si>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</si>
  <si>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</si>
  <si>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</si>
  <si>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</si>
  <si>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</si>
  <si>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</si>
  <si>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</si>
  <si>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</si>
  <si>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</si>
  <si>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</si>
  <si>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</si>
  <si>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</si>
  <si>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</si>
  <si>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</si>
  <si>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</si>
  <si>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</si>
  <si>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</si>
  <si>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</si>
  <si>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</si>
  <si>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</si>
  <si>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</si>
  <si>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</si>
  <si>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</si>
  <si>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</si>
  <si>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</si>
  <si>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</si>
  <si>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</si>
  <si>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</si>
  <si>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</si>
  <si>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</si>
  <si>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</si>
  <si>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</si>
  <si>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</si>
  <si>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</si>
  <si>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</si>
  <si>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</si>
  <si>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</si>
  <si>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</si>
  <si>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</si>
  <si>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</si>
  <si>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</si>
  <si>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</si>
  <si>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</si>
  <si>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</si>
  <si>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</si>
  <si>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</si>
  <si>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</si>
  <si>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</si>
  <si>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</si>
  <si>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</si>
  <si>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</si>
  <si>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</si>
  <si>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</si>
  <si>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</si>
  <si>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</si>
  <si>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</si>
  <si>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</si>
  <si>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</si>
  <si>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</si>
  <si>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</si>
  <si>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</si>
  <si>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</si>
  <si>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</si>
  <si>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</si>
  <si>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</si>
  <si>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</si>
  <si>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</si>
  <si>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</si>
  <si>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</si>
  <si>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</si>
  <si>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</si>
  <si>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</si>
  <si>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</si>
  <si>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</si>
  <si>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</si>
  <si>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</si>
  <si>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</si>
  <si>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</si>
  <si>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</si>
  <si>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</si>
  <si>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</si>
  <si>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</si>
  <si>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</si>
  <si>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</si>
  <si>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</si>
  <si>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</si>
  <si>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</si>
  <si>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</si>
  <si>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</si>
  <si>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</si>
  <si>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</si>
  <si>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</si>
  <si>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</si>
  <si>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</si>
  <si>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</si>
  <si>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</si>
  <si>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</si>
  <si>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</si>
  <si>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</si>
  <si>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</si>
  <si>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</si>
  <si>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</si>
  <si>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</si>
  <si>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</si>
  <si>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</si>
  <si>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</si>
  <si>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</si>
  <si>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</si>
  <si>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</si>
  <si>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</si>
  <si>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</si>
  <si>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</si>
  <si>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</si>
  <si>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</si>
  <si>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</si>
  <si>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</si>
  <si>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</si>
  <si>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</si>
  <si>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</si>
  <si>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</si>
  <si>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</si>
  <si>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</si>
  <si>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</si>
  <si>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</si>
  <si>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</si>
  <si>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</si>
  <si>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</si>
  <si>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</si>
  <si>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</si>
  <si>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</si>
  <si>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</si>
  <si>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</si>
  <si>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</si>
  <si>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</si>
  <si>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</si>
  <si>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</si>
  <si>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</si>
  <si>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</si>
  <si>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</si>
  <si>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</si>
  <si>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</si>
  <si>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</si>
  <si>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</si>
  <si>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</si>
  <si>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</si>
  <si>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</si>
  <si>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</si>
  <si>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</si>
  <si>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</si>
  <si>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</si>
  <si>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</si>
  <si>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</si>
  <si>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</si>
  <si>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</si>
  <si>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</si>
  <si>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</si>
  <si>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</si>
  <si>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</si>
  <si>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</si>
  <si>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</si>
  <si>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</si>
  <si>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</si>
  <si>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</si>
  <si>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</si>
  <si>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</si>
  <si>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</si>
  <si>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</si>
  <si>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</si>
  <si>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</si>
  <si>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</si>
  <si>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</si>
  <si>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</si>
  <si>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</si>
  <si>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</si>
  <si>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</si>
  <si>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</si>
  <si>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</si>
  <si>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</si>
  <si>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</si>
  <si>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</si>
  <si>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</si>
  <si>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</si>
  <si>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</si>
  <si>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</si>
  <si>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</si>
  <si>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</si>
  <si>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</si>
  <si>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</si>
  <si>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</si>
  <si>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</si>
  <si>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</si>
  <si>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</si>
  <si>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</si>
  <si>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</si>
  <si>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</si>
  <si>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</si>
  <si>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</si>
  <si>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</si>
  <si>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</si>
  <si>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</si>
  <si>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</si>
  <si>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</si>
  <si>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</si>
  <si>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</si>
  <si>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</si>
  <si>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</si>
  <si>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</si>
  <si>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</si>
  <si>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</si>
  <si>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</si>
  <si>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</si>
  <si>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</si>
  <si>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</si>
  <si>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</si>
  <si>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</si>
  <si>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</si>
  <si>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</si>
  <si>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</si>
  <si>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</si>
  <si>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</si>
  <si>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</si>
  <si>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</si>
  <si>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</si>
  <si>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</si>
  <si>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</si>
  <si>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</si>
  <si>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</si>
  <si>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</si>
  <si>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</si>
  <si>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</si>
  <si>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</si>
  <si>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</si>
  <si>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</si>
  <si>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</si>
  <si>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</si>
  <si>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</si>
  <si>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</si>
  <si>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</si>
  <si>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</si>
  <si>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</si>
  <si>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</si>
  <si>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</si>
  <si>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</si>
  <si>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</si>
  <si>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</si>
  <si>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</si>
  <si>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</si>
  <si>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</si>
  <si>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</si>
  <si>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</si>
  <si>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</si>
  <si>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</si>
  <si>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</si>
  <si>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</si>
  <si>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</si>
  <si>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</si>
  <si>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</si>
  <si>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</si>
  <si>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</si>
  <si>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</si>
  <si>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</si>
  <si>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</si>
  <si>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</si>
  <si>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</si>
  <si>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</si>
  <si>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</si>
  <si>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</si>
  <si>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</si>
  <si>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</si>
  <si>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</si>
  <si>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</si>
  <si>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</si>
  <si>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</si>
  <si>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</si>
  <si>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</si>
  <si>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</si>
  <si>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</si>
  <si>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</si>
  <si>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</si>
  <si>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</si>
  <si>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</si>
  <si>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</si>
  <si>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</si>
  <si>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</si>
  <si>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</si>
  <si>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</si>
  <si>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</si>
  <si>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</si>
  <si>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</si>
  <si>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</si>
  <si>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</si>
  <si>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</si>
  <si>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</si>
  <si>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</si>
  <si>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</si>
  <si>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</si>
  <si>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</si>
  <si>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</si>
  <si>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</si>
  <si>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</si>
  <si>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</si>
  <si>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</si>
  <si>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</si>
  <si>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</si>
  <si>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</si>
  <si>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</si>
  <si>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</si>
  <si>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</si>
  <si>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</si>
  <si>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</si>
  <si>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</si>
  <si>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</si>
  <si>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</si>
  <si>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</si>
  <si>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</si>
  <si>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</si>
  <si>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</si>
  <si>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</si>
  <si>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</si>
  <si>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</si>
  <si>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</si>
  <si>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</si>
  <si>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</si>
  <si>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</si>
  <si>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</si>
  <si>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</si>
  <si>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</si>
  <si>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</si>
  <si>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</si>
  <si>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</si>
  <si>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</si>
  <si>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</si>
  <si>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</si>
  <si>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</si>
  <si>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</si>
  <si>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</si>
  <si>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</si>
  <si>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</si>
  <si>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</si>
  <si>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</si>
  <si>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</si>
  <si>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</si>
  <si>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</si>
  <si>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</si>
  <si>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</si>
  <si>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</si>
  <si>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</si>
  <si>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</si>
  <si>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</si>
  <si>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</si>
  <si>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</si>
  <si>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</si>
  <si>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</si>
  <si>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</si>
  <si>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</si>
  <si>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</si>
  <si>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</si>
  <si>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</si>
  <si>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</si>
  <si>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</si>
  <si>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</si>
  <si>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</si>
  <si>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</si>
  <si>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</si>
  <si>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</si>
  <si>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</si>
  <si>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</si>
  <si>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</si>
  <si>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</si>
  <si>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</si>
  <si>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</si>
  <si>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</si>
  <si>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</si>
  <si>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</si>
  <si>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</si>
  <si>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</si>
  <si>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</si>
  <si>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</si>
  <si>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</si>
  <si>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</si>
  <si>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</si>
  <si>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</si>
  <si>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</si>
  <si>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</si>
  <si>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</si>
  <si>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</si>
  <si>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</si>
  <si>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</si>
  <si>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</si>
  <si>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</si>
  <si>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</si>
  <si>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</si>
  <si>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</si>
  <si>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</si>
  <si>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</si>
  <si>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</si>
  <si>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</si>
  <si>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</si>
  <si>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</si>
  <si>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</si>
  <si>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</si>
  <si>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</si>
  <si>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</si>
  <si>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</si>
  <si>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</si>
  <si>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</si>
  <si>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</si>
  <si>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</si>
  <si>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</si>
  <si>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</si>
  <si>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</si>
  <si>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</si>
  <si>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</si>
  <si>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</si>
  <si>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</si>
  <si>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</si>
  <si>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</si>
  <si>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</si>
  <si>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</si>
  <si>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</si>
  <si>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</si>
  <si>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</si>
  <si>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</si>
  <si>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</si>
  <si>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</si>
  <si>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</si>
  <si>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</si>
  <si>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</si>
  <si>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</si>
  <si>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</si>
  <si>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</si>
  <si>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</si>
  <si>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</si>
  <si>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</si>
  <si>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</si>
  <si>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</si>
  <si>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</si>
  <si>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</si>
  <si>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</si>
  <si>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</si>
  <si>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</si>
  <si>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</si>
  <si>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</si>
  <si>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</si>
  <si>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</si>
  <si>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</si>
  <si>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</si>
  <si>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</si>
  <si>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</si>
  <si>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</si>
  <si>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</si>
  <si>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</si>
  <si>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</si>
  <si>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</si>
  <si>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</si>
  <si>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</si>
  <si>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</si>
  <si>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</si>
  <si>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</si>
  <si>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</si>
  <si>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</si>
  <si>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</si>
  <si>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</si>
  <si>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</si>
  <si>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</si>
  <si>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</si>
  <si>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</si>
  <si>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</si>
  <si>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</si>
  <si>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</si>
  <si>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</si>
  <si>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</si>
  <si>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</si>
  <si>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</si>
  <si>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</si>
  <si>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</si>
  <si>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</si>
  <si>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</si>
  <si>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</si>
  <si>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</si>
  <si>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</si>
  <si>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</si>
  <si>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</si>
  <si>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</si>
  <si>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</si>
  <si>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</si>
  <si>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</si>
  <si>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</si>
  <si>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</si>
  <si>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</si>
  <si>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</si>
  <si>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</si>
  <si>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</si>
  <si>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</si>
  <si>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</si>
  <si>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</si>
  <si>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</si>
  <si>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</si>
  <si>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</si>
  <si>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</si>
  <si>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</si>
  <si>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</si>
  <si>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</si>
  <si>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</si>
  <si>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</si>
  <si>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</si>
  <si>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</si>
  <si>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</si>
  <si>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</si>
  <si>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</si>
  <si>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</si>
  <si>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</si>
  <si>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</si>
  <si>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</si>
  <si>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</si>
  <si>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</si>
  <si>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</si>
  <si>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</si>
  <si>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</si>
  <si>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</si>
  <si>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</si>
  <si>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</si>
  <si>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</si>
  <si>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</si>
  <si>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</si>
  <si>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</si>
  <si>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</si>
  <si>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</si>
  <si>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</si>
  <si>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</si>
  <si>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</si>
  <si>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</si>
  <si>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</si>
  <si>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</si>
  <si>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</si>
  <si>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</si>
  <si>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</si>
  <si>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</si>
  <si>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</si>
  <si>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</si>
  <si>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</si>
  <si>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</si>
  <si>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</si>
  <si>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</si>
  <si>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</si>
  <si>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</si>
  <si>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</si>
  <si>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</si>
  <si>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</si>
  <si>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</si>
  <si>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</si>
  <si>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</si>
  <si>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</si>
  <si>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</si>
  <si>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</si>
  <si>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</si>
  <si>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</si>
  <si>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</si>
  <si>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</si>
  <si>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</si>
  <si>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</si>
  <si>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</si>
  <si>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</si>
  <si>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</si>
  <si>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</si>
  <si>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</si>
  <si>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</si>
  <si>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</si>
  <si>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</si>
  <si>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</si>
  <si>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</si>
  <si>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</si>
  <si>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</si>
  <si>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</si>
  <si>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</si>
  <si>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</si>
  <si>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</si>
  <si>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</si>
  <si>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</si>
  <si>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</si>
  <si>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</si>
  <si>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</si>
  <si>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</si>
  <si>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</si>
  <si>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</si>
  <si>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</si>
  <si>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</si>
  <si>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</si>
  <si>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</si>
  <si>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</si>
  <si>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</si>
  <si>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</si>
  <si>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</si>
  <si>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</si>
  <si>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</si>
  <si>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</si>
  <si>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</si>
  <si>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</si>
  <si>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</si>
  <si>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</si>
  <si>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</si>
  <si>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</si>
  <si>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</si>
  <si>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</si>
  <si>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</si>
  <si>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</si>
  <si>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</si>
  <si>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</si>
  <si>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</si>
  <si>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</si>
  <si>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</si>
  <si>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</si>
  <si>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</si>
  <si>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</si>
  <si>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</si>
  <si>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</si>
  <si>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</si>
  <si>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</si>
  <si>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</si>
  <si>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</si>
  <si>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</si>
  <si>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</si>
  <si>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</si>
  <si>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</si>
  <si>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</si>
  <si>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</si>
  <si>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</si>
  <si>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</si>
  <si>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</si>
  <si>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</si>
  <si>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</si>
  <si>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</si>
  <si>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</si>
  <si>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</si>
  <si>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</si>
  <si>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</si>
  <si>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</si>
  <si>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</si>
  <si>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</si>
  <si>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</si>
  <si>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</si>
  <si>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</si>
  <si>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</si>
  <si>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</si>
  <si>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</si>
  <si>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</si>
  <si>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</si>
  <si>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</si>
  <si>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</si>
  <si>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</si>
  <si>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</si>
  <si>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</si>
  <si>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</si>
  <si>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</si>
  <si>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</si>
  <si>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</si>
  <si>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</si>
  <si>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</si>
  <si>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</si>
  <si>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</si>
  <si>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</si>
  <si>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</si>
  <si>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</si>
  <si>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</si>
  <si>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</si>
  <si>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</si>
  <si>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</si>
  <si>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</si>
  <si>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</si>
  <si>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</si>
  <si>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</si>
  <si>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</si>
  <si>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</si>
  <si>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</si>
  <si>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</si>
  <si>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</si>
  <si>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</si>
  <si>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</si>
  <si>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</si>
  <si>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</si>
  <si>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</si>
  <si>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</si>
  <si>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</si>
  <si>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</si>
  <si>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</si>
  <si>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</si>
  <si>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</si>
  <si>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</si>
  <si>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</si>
  <si>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</si>
  <si>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</si>
  <si>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</si>
  <si>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</si>
  <si>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</si>
  <si>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</si>
  <si>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</si>
  <si>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</si>
  <si>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</si>
  <si>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</si>
  <si>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</si>
  <si>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</si>
  <si>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</si>
  <si>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</si>
  <si>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</si>
  <si>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</si>
  <si>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</si>
  <si>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</si>
  <si>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</si>
  <si>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</si>
  <si>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</si>
  <si>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</si>
  <si>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</si>
  <si>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</si>
  <si>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</si>
  <si>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</si>
  <si>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</si>
  <si>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</si>
  <si>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</si>
  <si>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</si>
  <si>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</si>
  <si>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</si>
  <si>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</si>
  <si>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</si>
  <si>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</si>
  <si>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</si>
  <si>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</si>
  <si>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</si>
  <si>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</si>
  <si>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</si>
  <si>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</si>
  <si>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</si>
  <si>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</si>
  <si>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</si>
  <si>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</si>
  <si>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</si>
  <si>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</si>
  <si>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</si>
  <si>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</si>
  <si>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</si>
  <si>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</si>
  <si>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</si>
  <si>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</si>
  <si>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</si>
  <si>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</si>
  <si>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</si>
  <si>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</si>
  <si>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</si>
  <si>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</si>
  <si>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</si>
  <si>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</si>
  <si>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</si>
  <si>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</si>
  <si>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</si>
  <si>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</si>
  <si>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</si>
  <si>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</si>
  <si>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</si>
  <si>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</si>
  <si>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</si>
  <si>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</si>
  <si>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</si>
  <si>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</si>
  <si>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</si>
  <si>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</si>
  <si>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</si>
  <si>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</si>
  <si>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</si>
  <si>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</si>
  <si>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</si>
  <si>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</si>
  <si>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</si>
  <si>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</si>
  <si>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</si>
  <si>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</si>
  <si>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</si>
  <si>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</si>
  <si>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</si>
  <si>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</si>
  <si>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</si>
  <si>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</si>
  <si>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</si>
  <si>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</si>
  <si>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</si>
  <si>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</si>
  <si>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</si>
  <si>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</si>
  <si>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</si>
  <si>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</si>
  <si>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</si>
  <si>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</si>
  <si>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</si>
  <si>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</si>
  <si>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</si>
  <si>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</si>
  <si>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</si>
  <si>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</si>
  <si>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</si>
  <si>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</si>
  <si>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</si>
  <si>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</si>
  <si>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</si>
  <si>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</si>
  <si>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</si>
  <si>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</si>
  <si>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</si>
  <si>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</si>
  <si>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</si>
  <si>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</si>
  <si>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</si>
  <si>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</si>
  <si>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</si>
  <si>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</si>
  <si>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</si>
  <si>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</si>
  <si>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</si>
  <si>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</si>
  <si>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</si>
  <si>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</si>
  <si>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</si>
  <si>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</si>
  <si>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</si>
  <si>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</si>
  <si>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</si>
  <si>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</si>
  <si>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</si>
  <si>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</si>
  <si>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</si>
  <si>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</si>
  <si>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</si>
  <si>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</si>
  <si>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</si>
  <si>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</si>
  <si>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</si>
  <si>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</si>
  <si>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</si>
  <si>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</si>
  <si>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</si>
  <si>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</si>
  <si>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</si>
  <si>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</si>
  <si>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</si>
  <si>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</si>
  <si>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</si>
  <si>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</si>
  <si>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</si>
  <si>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</si>
  <si>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</si>
  <si>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</si>
  <si>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</si>
  <si>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</si>
  <si>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</si>
  <si>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</si>
  <si>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</si>
  <si>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</si>
  <si>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</si>
  <si>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</si>
  <si>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</si>
  <si>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</si>
  <si>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</si>
  <si>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</si>
  <si>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</si>
  <si>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</si>
  <si>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</si>
  <si>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</si>
  <si>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</si>
  <si>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</si>
  <si>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</si>
  <si>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</si>
  <si>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</si>
  <si>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</si>
  <si>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</si>
  <si>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</si>
  <si>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</si>
  <si>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</si>
  <si>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</si>
  <si>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</si>
  <si>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</si>
  <si>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</si>
  <si>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</si>
  <si>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</si>
  <si>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</si>
  <si>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</si>
  <si>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</si>
  <si>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</si>
  <si>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</si>
  <si>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</si>
  <si>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</si>
  <si>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</si>
  <si>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</si>
  <si>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</si>
  <si>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</si>
  <si>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</si>
  <si>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</si>
  <si>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</si>
  <si>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</si>
  <si>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</si>
  <si>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</si>
  <si>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</si>
  <si>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</si>
  <si>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</si>
  <si>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</si>
  <si>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</si>
  <si>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</si>
  <si>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</si>
  <si>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</si>
  <si>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</si>
  <si>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</si>
  <si>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</si>
  <si>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</si>
  <si>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</si>
  <si>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</si>
  <si>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</si>
  <si>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</si>
  <si>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</si>
  <si>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</si>
  <si>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</si>
  <si>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</si>
  <si>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</si>
  <si>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</si>
  <si>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</si>
  <si>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</si>
  <si>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</si>
  <si>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</si>
  <si>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</si>
  <si>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</si>
  <si>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</si>
  <si>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</si>
  <si>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</si>
  <si>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</si>
  <si>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</si>
  <si>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</si>
  <si>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</si>
  <si>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</si>
  <si>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</si>
  <si>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</si>
  <si>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</si>
  <si>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</si>
  <si>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</si>
  <si>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</si>
  <si>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</si>
  <si>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</si>
  <si>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</si>
  <si>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</si>
  <si>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</si>
  <si>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</si>
  <si>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</si>
  <si>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</si>
  <si>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</si>
  <si>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</si>
  <si>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</si>
  <si>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</si>
  <si>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</si>
  <si>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</si>
  <si>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</si>
  <si>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</si>
  <si>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</si>
  <si>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</si>
  <si>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</si>
  <si>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</si>
  <si>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</si>
  <si>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</si>
  <si>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</si>
  <si>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</si>
  <si>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</si>
  <si>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</si>
  <si>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</si>
  <si>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</si>
  <si>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</si>
  <si>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</si>
  <si>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</si>
  <si>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</si>
  <si>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</si>
  <si>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</si>
  <si>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</si>
  <si>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</si>
  <si>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</si>
  <si>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</si>
  <si>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</si>
  <si>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</si>
  <si>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</si>
  <si>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</si>
  <si>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</si>
  <si>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</si>
  <si>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</si>
  <si>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</si>
  <si>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</si>
  <si>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</si>
  <si>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</si>
  <si>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</si>
  <si>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</si>
  <si>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</si>
  <si>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</si>
  <si>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</si>
  <si>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</si>
  <si>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</si>
  <si>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</si>
  <si>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</si>
  <si>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</si>
  <si>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</si>
  <si>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</si>
  <si>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</si>
  <si>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</si>
  <si>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</si>
  <si>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</si>
  <si>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</si>
  <si>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</si>
  <si>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</si>
  <si>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</si>
  <si>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</si>
  <si>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</si>
  <si>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</si>
  <si>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</si>
  <si>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</si>
  <si>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</si>
  <si>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</si>
  <si>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</si>
  <si>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</si>
  <si>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</si>
  <si>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</si>
  <si>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</si>
  <si>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</si>
  <si>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</si>
  <si>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</si>
  <si>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</si>
  <si>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</si>
  <si>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</si>
  <si>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</si>
  <si>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</si>
  <si>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</si>
  <si>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</si>
  <si>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</si>
  <si>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</si>
  <si>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</si>
  <si>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</si>
  <si>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</si>
  <si>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</si>
  <si>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</si>
  <si>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</si>
  <si>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</si>
  <si>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</si>
  <si>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</si>
  <si>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</si>
  <si>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</si>
  <si>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</si>
  <si>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</si>
  <si>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</si>
  <si>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</si>
  <si>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</si>
  <si>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</si>
  <si>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</si>
  <si>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</si>
  <si>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</si>
  <si>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</si>
  <si>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</si>
  <si>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</si>
  <si>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</si>
  <si>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</si>
  <si>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</si>
  <si>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</si>
  <si>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</si>
  <si>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</si>
  <si>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</si>
  <si>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</si>
  <si>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</si>
  <si>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</si>
  <si>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</si>
  <si>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</si>
  <si>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</si>
  <si>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</si>
  <si>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</si>
  <si>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</si>
  <si>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</si>
  <si>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</si>
  <si>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</si>
  <si>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</si>
  <si>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</si>
  <si>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</si>
  <si>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</si>
  <si>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</si>
  <si>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</si>
  <si>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</si>
  <si>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</si>
  <si>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</si>
  <si>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</si>
  <si>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</si>
  <si>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</si>
  <si>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</si>
  <si>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</si>
  <si>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</si>
  <si>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</si>
  <si>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</si>
  <si>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</si>
  <si>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</si>
  <si>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</si>
  <si>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</si>
  <si>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</si>
  <si>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</si>
  <si>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</si>
  <si>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</si>
  <si>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</si>
  <si>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</si>
  <si>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</si>
  <si>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</si>
  <si>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</si>
  <si>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</si>
  <si>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</si>
  <si>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</si>
  <si>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</si>
  <si>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</si>
  <si>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</si>
  <si>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</si>
  <si>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</si>
  <si>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</si>
  <si>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</si>
  <si>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</si>
  <si>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</si>
  <si>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</si>
  <si>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</si>
  <si>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</si>
  <si>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</si>
  <si>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</si>
  <si>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</si>
  <si>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</si>
  <si>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</si>
  <si>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</si>
  <si>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</si>
  <si>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</si>
  <si>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</si>
  <si>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</si>
  <si>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</si>
  <si>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</si>
  <si>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</si>
  <si>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</si>
  <si>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</si>
  <si>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</si>
  <si>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</si>
  <si>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</si>
  <si>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</si>
  <si>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</si>
  <si>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</si>
  <si>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</si>
  <si>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</si>
  <si>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</si>
  <si>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</si>
  <si>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</si>
  <si>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</si>
  <si>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</si>
  <si>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</si>
  <si>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</si>
  <si>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</si>
  <si>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</si>
  <si>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</si>
  <si>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</si>
  <si>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</si>
  <si>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</si>
  <si>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</si>
  <si>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</si>
  <si>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</si>
  <si>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</si>
  <si>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</si>
  <si>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</si>
  <si>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</si>
  <si>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</si>
  <si>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</si>
  <si>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</si>
  <si>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</si>
  <si>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</si>
  <si>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</si>
  <si>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</si>
  <si>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</si>
  <si>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</si>
  <si>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</si>
  <si>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</si>
  <si>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</si>
  <si>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</si>
  <si>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</si>
  <si>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</si>
  <si>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</si>
  <si>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</si>
  <si>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</si>
  <si>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</si>
  <si>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</si>
  <si>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</si>
  <si>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</si>
  <si>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</si>
  <si>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</si>
  <si>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</si>
  <si>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</si>
  <si>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</si>
  <si>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</si>
  <si>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</si>
  <si>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</si>
  <si>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</si>
  <si>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</si>
  <si>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</si>
  <si>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</si>
  <si>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</si>
  <si>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</si>
  <si>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</si>
  <si>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</si>
  <si>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</si>
  <si>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</si>
  <si>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</si>
  <si>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</si>
  <si>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</si>
  <si>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</si>
  <si>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</si>
  <si>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</si>
  <si>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</si>
  <si>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</si>
  <si>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</si>
  <si>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</si>
  <si>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</si>
  <si>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</si>
  <si>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</si>
  <si>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</si>
  <si>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</si>
  <si>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</si>
  <si>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</si>
  <si>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</si>
  <si>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</si>
  <si>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</si>
  <si>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</si>
  <si>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</si>
  <si>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</si>
  <si>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</si>
  <si>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</si>
  <si>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</si>
  <si>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</si>
  <si>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</si>
  <si>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</si>
  <si>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</si>
  <si>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</si>
  <si>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</si>
  <si>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</si>
  <si>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</si>
  <si>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</si>
  <si>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</si>
  <si>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</si>
  <si>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</si>
  <si>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</si>
  <si>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</si>
  <si>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</si>
  <si>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</si>
  <si>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</si>
  <si>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</si>
  <si>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</si>
  <si>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</si>
  <si>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</si>
  <si>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</si>
  <si>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</si>
  <si>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</si>
  <si>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</si>
  <si>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</si>
  <si>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</si>
  <si>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</si>
  <si>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</si>
  <si>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</si>
  <si>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</si>
  <si>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</si>
  <si>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</si>
  <si>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</si>
  <si>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</si>
  <si>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</si>
  <si>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</si>
  <si>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</si>
  <si>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</si>
  <si>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</si>
  <si>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</si>
  <si>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</si>
  <si>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</si>
  <si>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</si>
  <si>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</si>
  <si>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</si>
  <si>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</si>
  <si>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</si>
  <si>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</si>
  <si>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</si>
  <si>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</si>
  <si>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</si>
  <si>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</si>
  <si>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</si>
  <si>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</si>
  <si>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</si>
  <si>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</si>
  <si>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</si>
  <si>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</si>
  <si>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</si>
  <si>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</si>
  <si>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</si>
  <si>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</si>
  <si>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</si>
  <si>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</si>
  <si>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</si>
  <si>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</si>
  <si>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</si>
  <si>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</si>
  <si>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</si>
  <si>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</si>
  <si>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</si>
  <si>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</si>
  <si>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</si>
  <si>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</si>
  <si>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</si>
  <si>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</si>
  <si>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</si>
  <si>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</si>
  <si>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</si>
  <si>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</si>
  <si>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</si>
  <si>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</si>
  <si>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</si>
  <si>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</si>
  <si>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</si>
  <si>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</si>
  <si>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</si>
  <si>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</si>
  <si>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</si>
  <si>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</si>
  <si>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</si>
  <si>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</si>
  <si>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</si>
  <si>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</si>
  <si>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</si>
  <si>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</si>
  <si>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</si>
  <si>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</si>
  <si>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</si>
  <si>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</si>
  <si>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</si>
  <si>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</si>
  <si>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</si>
  <si>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</si>
  <si>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</si>
  <si>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</si>
  <si>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</si>
  <si>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</si>
  <si>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</si>
  <si>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</si>
  <si>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</si>
  <si>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</si>
  <si>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</si>
  <si>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</si>
  <si>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</si>
  <si>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</si>
  <si>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</si>
  <si>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</si>
  <si>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</si>
  <si>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</si>
  <si>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</si>
  <si>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</si>
  <si>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</si>
  <si>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</si>
  <si>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</si>
  <si>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</si>
  <si>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</si>
  <si>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</si>
  <si>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</si>
  <si>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</si>
  <si>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</si>
  <si>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</si>
  <si>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</si>
  <si>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</si>
  <si>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</si>
  <si>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</si>
  <si>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</si>
  <si>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</si>
  <si>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</si>
  <si>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</si>
  <si>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</si>
  <si>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</si>
  <si>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</si>
  <si>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</si>
  <si>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</si>
  <si>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</si>
  <si>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</si>
  <si>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</si>
  <si>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</si>
  <si>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</si>
  <si>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</si>
  <si>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</si>
  <si>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</si>
  <si>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</si>
  <si>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</si>
  <si>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</si>
  <si>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</si>
  <si>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</si>
  <si>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</si>
  <si>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</si>
  <si>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</si>
  <si>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</si>
  <si>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</si>
  <si>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</si>
  <si>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</si>
  <si>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</si>
  <si>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</si>
  <si>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</si>
  <si>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</si>
  <si>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</si>
  <si>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</si>
  <si>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</si>
  <si>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</si>
  <si>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</si>
  <si>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</si>
  <si>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</si>
  <si>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</si>
  <si>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</si>
  <si>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</si>
  <si>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</si>
  <si>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</si>
  <si>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</si>
  <si>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</si>
  <si>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</si>
  <si>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</si>
  <si>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</si>
  <si>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</si>
  <si>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</si>
  <si>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</si>
  <si>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</si>
  <si>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</si>
  <si>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</si>
  <si>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</si>
  <si>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</si>
  <si>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</si>
  <si>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</si>
  <si>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</si>
  <si>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</si>
  <si>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</si>
  <si>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</si>
  <si>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</si>
  <si>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</si>
  <si>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</si>
  <si>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</si>
  <si>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</si>
  <si>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</si>
  <si>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</si>
  <si>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</si>
  <si>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</si>
  <si>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</si>
  <si>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</si>
  <si>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</si>
  <si>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</si>
  <si>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</si>
  <si>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</si>
  <si>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</si>
  <si>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</si>
  <si>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</si>
  <si>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</si>
  <si>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</si>
  <si>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</si>
  <si>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</si>
  <si>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</si>
  <si>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</si>
  <si>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</si>
  <si>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</si>
  <si>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</si>
  <si>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</si>
  <si>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</si>
  <si>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</si>
  <si>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</si>
  <si>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</si>
  <si>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</si>
  <si>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</si>
  <si>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</si>
  <si>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</si>
  <si>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</si>
  <si>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</si>
  <si>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</si>
  <si>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</si>
  <si>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</si>
  <si>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</si>
  <si>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</si>
  <si>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</si>
  <si>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</si>
  <si>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</si>
  <si>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</si>
  <si>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</si>
  <si>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</si>
  <si>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</si>
  <si>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</si>
  <si>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</si>
  <si>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</si>
  <si>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</si>
  <si>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</si>
  <si>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</si>
  <si>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</si>
  <si>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</si>
  <si>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</si>
  <si>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</si>
  <si>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</si>
  <si>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</si>
  <si>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</si>
  <si>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</si>
  <si>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</si>
  <si>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</si>
  <si>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</si>
  <si>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</si>
  <si>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</si>
  <si>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</si>
  <si>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</si>
  <si>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</si>
  <si>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</si>
  <si>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</si>
  <si>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</si>
  <si>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</si>
  <si>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</si>
  <si>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</si>
  <si>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</si>
  <si>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</si>
  <si>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</si>
  <si>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</si>
  <si>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</si>
  <si>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</si>
  <si>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</si>
  <si>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</si>
  <si>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</si>
  <si>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</si>
  <si>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</si>
  <si>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</si>
  <si>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</si>
  <si>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</si>
  <si>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</si>
  <si>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</si>
  <si>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</si>
  <si>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</si>
  <si>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</si>
  <si>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</si>
  <si>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</si>
  <si>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</si>
  <si>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</si>
  <si>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</si>
  <si>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</si>
  <si>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</si>
  <si>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</si>
  <si>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</si>
  <si>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</si>
  <si>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</si>
  <si>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</si>
  <si>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</si>
  <si>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</si>
  <si>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</si>
  <si>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</si>
  <si>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</si>
  <si>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</si>
  <si>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</si>
  <si>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</si>
  <si>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</si>
  <si>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</si>
  <si>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</si>
  <si>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</si>
  <si>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</si>
  <si>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</si>
  <si>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</si>
  <si>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</si>
  <si>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</si>
  <si>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</si>
  <si>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</si>
  <si>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</si>
  <si>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</si>
  <si>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</si>
  <si>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</si>
  <si>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</si>
  <si>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</si>
  <si>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</si>
  <si>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</si>
  <si>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</si>
  <si>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</si>
  <si>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</si>
  <si>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</si>
  <si>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</si>
  <si>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</si>
  <si>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</si>
  <si>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</si>
  <si>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</si>
  <si>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</si>
  <si>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</si>
  <si>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</si>
  <si>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</si>
  <si>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</si>
  <si>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</si>
  <si>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</si>
  <si>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</si>
  <si>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</si>
  <si>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</si>
  <si>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</si>
  <si>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</si>
  <si>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</si>
  <si>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</si>
  <si>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</si>
  <si>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</si>
  <si>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</si>
  <si>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</si>
  <si>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</si>
  <si>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</si>
  <si>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</si>
  <si>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</si>
  <si>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</si>
  <si>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</si>
  <si>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</si>
  <si>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</si>
  <si>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</si>
  <si>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</si>
  <si>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</si>
  <si>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</si>
  <si>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</si>
  <si>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</si>
  <si>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</si>
  <si>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</si>
  <si>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</si>
  <si>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</si>
  <si>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</si>
  <si>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</si>
  <si>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</si>
  <si>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</si>
  <si>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</si>
  <si>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</si>
  <si>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</si>
  <si>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</si>
  <si>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</si>
  <si>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</si>
  <si>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</si>
  <si>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</si>
  <si>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</si>
  <si>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</si>
  <si>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</si>
  <si>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</si>
  <si>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</si>
  <si>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</si>
  <si>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</si>
  <si>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</si>
  <si>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</si>
  <si>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</si>
  <si>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</si>
  <si>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</si>
  <si>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</si>
  <si>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</si>
  <si>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</si>
  <si>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</si>
  <si>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</si>
  <si>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</si>
  <si>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</si>
  <si>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</si>
  <si>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</si>
  <si>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</si>
  <si>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</si>
  <si>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</si>
  <si>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</si>
  <si>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</si>
  <si>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</si>
  <si>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</si>
  <si>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</si>
  <si>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</si>
  <si>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</si>
  <si>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</si>
  <si>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</si>
  <si>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</si>
  <si>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</si>
  <si>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</si>
  <si>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</si>
  <si>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</si>
  <si>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</si>
  <si>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</si>
  <si>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</si>
  <si>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</si>
  <si>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</si>
  <si>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</si>
  <si>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</si>
  <si>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</si>
  <si>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</si>
  <si>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</si>
  <si>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</si>
  <si>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</si>
  <si>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</si>
  <si>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</si>
  <si>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</si>
  <si>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</si>
  <si>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</si>
  <si>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</si>
  <si>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</si>
  <si>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</si>
  <si>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</si>
  <si>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</si>
  <si>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</si>
  <si>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</si>
  <si>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</si>
  <si>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</si>
  <si>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</si>
  <si>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</si>
  <si>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</si>
  <si>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</si>
  <si>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</si>
  <si>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</si>
  <si>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</si>
  <si>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</si>
  <si>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</si>
  <si>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</si>
  <si>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</si>
  <si>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</si>
  <si>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</si>
  <si>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</si>
  <si>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</si>
  <si>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</si>
  <si>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</si>
  <si>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</si>
  <si>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</si>
  <si>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</si>
  <si>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</si>
  <si>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</si>
  <si>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</si>
  <si>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</si>
  <si>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</si>
  <si>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</si>
  <si>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</si>
  <si>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</si>
  <si>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</si>
  <si>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</si>
  <si>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</si>
  <si>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</si>
  <si>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</si>
  <si>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</si>
  <si>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</si>
  <si>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</si>
  <si>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</si>
  <si>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</si>
  <si>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</si>
  <si>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</si>
  <si>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</si>
  <si>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</si>
  <si>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</si>
  <si>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</si>
  <si>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</si>
  <si>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</si>
  <si>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</si>
  <si>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</si>
  <si>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</si>
  <si>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</si>
  <si>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</si>
  <si>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</si>
  <si>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</si>
  <si>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</si>
  <si>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</si>
  <si>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</si>
  <si>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</si>
  <si>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</si>
  <si>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</si>
  <si>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</si>
  <si>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</si>
  <si>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</si>
  <si>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</si>
  <si>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</si>
  <si>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</si>
  <si>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</si>
  <si>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</si>
  <si>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</si>
  <si>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</si>
  <si>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</si>
  <si>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</si>
  <si>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</si>
  <si>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</si>
  <si>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</si>
  <si>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</si>
  <si>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</si>
  <si>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</si>
  <si>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</si>
  <si>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</si>
  <si>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</si>
  <si>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</si>
  <si>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</si>
  <si>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</si>
  <si>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</si>
  <si>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</si>
  <si>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</si>
  <si>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</si>
  <si>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</si>
  <si>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</si>
  <si>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</si>
  <si>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</si>
  <si>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</si>
  <si>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</si>
  <si>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</si>
  <si>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</si>
  <si>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</si>
  <si>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</si>
  <si>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</si>
  <si>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</si>
  <si>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</si>
  <si>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</si>
  <si>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</si>
  <si>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</si>
  <si>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</si>
  <si>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</si>
  <si>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</si>
  <si>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</si>
  <si>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</si>
  <si>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</si>
  <si>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</si>
  <si>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</si>
  <si>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</si>
  <si>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</si>
  <si>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</si>
  <si>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</si>
  <si>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</si>
  <si>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</si>
  <si>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</si>
  <si>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</si>
  <si>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</si>
  <si>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</si>
  <si>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</si>
  <si>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</si>
  <si>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</si>
  <si>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</si>
  <si>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</si>
  <si>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</si>
  <si>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</si>
  <si>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</si>
  <si>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</si>
  <si>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</si>
  <si>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</si>
  <si>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</si>
  <si>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</si>
  <si>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</si>
  <si>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</si>
  <si>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</si>
  <si>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</si>
  <si>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</si>
  <si>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</si>
  <si>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</si>
  <si>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</si>
  <si>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</si>
  <si>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</si>
  <si>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</si>
  <si>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</si>
  <si>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</si>
  <si>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</si>
  <si>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</si>
  <si>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</si>
  <si>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</si>
  <si>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</si>
  <si>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</si>
  <si>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</si>
  <si>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</si>
  <si>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</si>
  <si>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</si>
  <si>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</si>
  <si>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</si>
  <si>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</si>
  <si>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</si>
  <si>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</si>
  <si>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</si>
  <si>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</si>
  <si>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</si>
  <si>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</si>
  <si>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</si>
  <si>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</si>
  <si>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</si>
  <si>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</si>
  <si>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</si>
  <si>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</si>
  <si>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</si>
  <si>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</si>
  <si>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</si>
  <si>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</si>
  <si>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</si>
  <si>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</si>
  <si>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</si>
  <si>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</si>
  <si>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</si>
  <si>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</si>
  <si>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</si>
  <si>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</si>
  <si>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</si>
  <si>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</si>
  <si>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</si>
  <si>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</si>
  <si>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</si>
  <si>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</si>
  <si>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</si>
  <si>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</si>
  <si>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</si>
  <si>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</si>
  <si>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</si>
  <si>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</si>
  <si>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</si>
  <si>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</si>
  <si>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</si>
  <si>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</si>
  <si>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</si>
  <si>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</si>
  <si>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</si>
  <si>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</si>
  <si>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</si>
  <si>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</si>
  <si>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</si>
  <si>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</si>
  <si>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</si>
  <si>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</si>
  <si>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</si>
  <si>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</si>
  <si>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</si>
  <si>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</si>
  <si>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</si>
  <si>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</si>
  <si>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</si>
  <si>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</si>
  <si>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</si>
  <si>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</si>
  <si>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</si>
  <si>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</si>
  <si>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</si>
  <si>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</si>
  <si>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</si>
  <si>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</si>
  <si>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</si>
  <si>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</si>
  <si>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</si>
  <si>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</si>
  <si>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</si>
  <si>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</si>
  <si>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</si>
  <si>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</si>
  <si>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</si>
  <si>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</si>
  <si>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</si>
  <si>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</si>
  <si>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</si>
  <si>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</si>
  <si>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</si>
  <si>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</si>
  <si>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</si>
  <si>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</si>
  <si>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</si>
  <si>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</si>
  <si>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</si>
  <si>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</si>
  <si>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</si>
  <si>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</si>
  <si>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</si>
  <si>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</si>
  <si>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</si>
  <si>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</si>
  <si>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</si>
  <si>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</si>
  <si>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</si>
  <si>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</si>
  <si>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</si>
  <si>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</si>
  <si>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</si>
  <si>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</si>
  <si>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</si>
  <si>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</si>
  <si>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</si>
  <si>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</si>
  <si>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</si>
  <si>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</si>
  <si>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</si>
  <si>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</si>
  <si>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</si>
  <si>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</si>
  <si>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</si>
  <si>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</si>
  <si>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</si>
  <si>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</si>
  <si>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</si>
  <si>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</si>
  <si>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</si>
  <si>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</si>
  <si>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</si>
  <si>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</si>
  <si>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</si>
  <si>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</si>
  <si>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</si>
  <si>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</si>
  <si>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</si>
  <si>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</si>
  <si>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</si>
  <si>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</si>
  <si>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</si>
  <si>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</si>
  <si>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</si>
  <si>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</si>
  <si>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</si>
  <si>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</si>
  <si>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</si>
  <si>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</si>
  <si>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</si>
  <si>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</si>
  <si>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</si>
  <si>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</si>
  <si>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</si>
  <si>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</si>
  <si>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</si>
  <si>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</si>
  <si>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</si>
  <si>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</si>
  <si>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</si>
  <si>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</si>
  <si>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</si>
  <si>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</si>
  <si>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</si>
  <si>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</si>
  <si>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</si>
  <si>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</si>
  <si>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</si>
  <si>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</si>
  <si>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</si>
  <si>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</si>
  <si>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</si>
  <si>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</si>
  <si>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</si>
  <si>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</si>
  <si>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</si>
  <si>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</si>
  <si>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</si>
  <si>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</si>
  <si>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</si>
  <si>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</si>
  <si>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</si>
  <si>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</si>
  <si>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</si>
  <si>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</si>
  <si>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</si>
  <si>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</si>
  <si>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</si>
  <si>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</si>
  <si>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</si>
  <si>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</si>
  <si>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</si>
  <si>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</si>
  <si>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</si>
  <si>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</si>
  <si>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</si>
  <si>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</si>
  <si>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</si>
  <si>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</si>
  <si>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</si>
  <si>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</si>
  <si>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</si>
  <si>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</si>
  <si>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</si>
  <si>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</si>
  <si>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</si>
  <si>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</si>
  <si>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</si>
  <si>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</si>
  <si>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</si>
  <si>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</si>
  <si>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</si>
  <si>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</si>
  <si>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</si>
  <si>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</si>
  <si>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</si>
  <si>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</si>
  <si>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</si>
  <si>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</si>
  <si>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</si>
  <si>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</si>
  <si>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</si>
  <si>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</si>
  <si>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</si>
  <si>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</si>
  <si>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</si>
  <si>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</si>
  <si>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</si>
  <si>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</si>
  <si>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</si>
  <si>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</si>
  <si>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</si>
  <si>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</si>
  <si>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</si>
  <si>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</si>
  <si>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</si>
  <si>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</si>
  <si>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</si>
  <si>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</si>
  <si>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</si>
  <si>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</si>
  <si>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</si>
  <si>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</si>
  <si>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</si>
  <si>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</si>
  <si>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</si>
  <si>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</si>
  <si>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</si>
  <si>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</si>
  <si>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</si>
  <si>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</si>
  <si>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</si>
  <si>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</si>
  <si>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</si>
  <si>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</si>
  <si>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</si>
  <si>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</si>
  <si>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</si>
  <si>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</si>
  <si>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</si>
  <si>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</si>
  <si>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</si>
  <si>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</si>
  <si>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</si>
  <si>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</si>
  <si>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</si>
  <si>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</si>
  <si>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</si>
  <si>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</si>
  <si>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</si>
  <si>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</si>
  <si>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</si>
  <si>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</si>
  <si>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</si>
  <si>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</si>
  <si>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</si>
  <si>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</si>
  <si>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</si>
  <si>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</si>
  <si>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</si>
  <si>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</si>
  <si>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</si>
  <si>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</si>
  <si>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</si>
  <si>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</si>
  <si>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</si>
  <si>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</si>
  <si>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</si>
  <si>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</si>
  <si>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</si>
  <si>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</si>
  <si>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</si>
  <si>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</si>
  <si>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</si>
  <si>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</si>
  <si>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</si>
  <si>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</si>
  <si>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</si>
  <si>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</si>
  <si>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</si>
  <si>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</si>
  <si>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</si>
  <si>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</si>
  <si>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</si>
  <si>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</si>
  <si>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</si>
  <si>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</si>
  <si>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</si>
  <si>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</si>
  <si>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</si>
  <si>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</si>
  <si>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</si>
  <si>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</si>
  <si>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</si>
  <si>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</si>
  <si>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</si>
  <si>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</si>
  <si>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</si>
  <si>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</si>
  <si>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</si>
  <si>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</si>
  <si>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</si>
  <si>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</si>
  <si>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</si>
  <si>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</si>
  <si>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</si>
  <si>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</si>
  <si>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</si>
  <si>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</si>
  <si>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</si>
  <si>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</si>
  <si>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</si>
  <si>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</si>
  <si>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</si>
  <si>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</si>
  <si>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</si>
  <si>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</si>
  <si>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</si>
  <si>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</si>
  <si>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</si>
  <si>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</si>
  <si>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</si>
  <si>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</si>
  <si>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</si>
  <si>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</si>
  <si>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</si>
  <si>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</si>
  <si>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</si>
  <si>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</si>
  <si>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</si>
  <si>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</si>
  <si>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</si>
  <si>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</si>
  <si>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</si>
  <si>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</si>
  <si>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</si>
  <si>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</si>
  <si>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</si>
  <si>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</si>
  <si>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</si>
  <si>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</si>
  <si>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</si>
  <si>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</si>
  <si>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</si>
  <si>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</si>
  <si>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</si>
  <si>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</si>
  <si>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</si>
  <si>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</si>
  <si>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</si>
  <si>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</si>
  <si>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</si>
  <si>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</si>
  <si>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</si>
  <si>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</si>
  <si>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</si>
  <si>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</si>
  <si>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</si>
  <si>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</si>
  <si>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</si>
  <si>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</si>
  <si>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</si>
  <si>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</si>
  <si>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</si>
  <si>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</si>
  <si>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</si>
  <si>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</si>
  <si>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</si>
  <si>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</si>
  <si>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</si>
  <si>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</si>
  <si>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</si>
  <si>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</si>
  <si>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</si>
  <si>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</si>
  <si>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</si>
  <si>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</si>
  <si>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</si>
  <si>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</si>
  <si>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</si>
  <si>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</si>
  <si>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</si>
  <si>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</si>
  <si>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</si>
  <si>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</si>
  <si>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</si>
  <si>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</si>
  <si>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</si>
  <si>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</si>
  <si>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</si>
  <si>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</si>
  <si>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</si>
  <si>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</si>
  <si>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</si>
  <si>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</si>
  <si>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</si>
  <si>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</si>
  <si>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</si>
  <si>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</si>
  <si>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</si>
  <si>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</si>
  <si>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</si>
  <si>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</si>
  <si>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</si>
  <si>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</si>
  <si>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</si>
  <si>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</si>
  <si>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</si>
  <si>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</si>
  <si>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</si>
  <si>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</si>
  <si>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</si>
  <si>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</si>
  <si>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</si>
  <si>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</si>
  <si>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</si>
  <si>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</si>
  <si>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</si>
  <si>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</si>
  <si>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</si>
  <si>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</si>
  <si>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</si>
  <si>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</si>
  <si>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</si>
  <si>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</si>
  <si>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</si>
  <si>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</si>
  <si>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</si>
  <si>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</si>
  <si>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</si>
  <si>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</si>
  <si>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</si>
  <si>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</si>
  <si>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</si>
  <si>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</si>
  <si>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</si>
  <si>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</si>
  <si>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</si>
  <si>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</si>
  <si>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</si>
  <si>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</si>
  <si>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</si>
  <si>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</si>
  <si>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</si>
  <si>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</si>
  <si>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</si>
  <si>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</si>
  <si>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</si>
  <si>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</si>
  <si>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</si>
  <si>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</si>
  <si>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</si>
  <si>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</si>
  <si>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</si>
  <si>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</si>
  <si>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</si>
  <si>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</si>
  <si>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</si>
  <si>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</si>
  <si>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</si>
  <si>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</si>
  <si>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</si>
  <si>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</si>
  <si>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</si>
  <si>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</si>
  <si>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</si>
  <si>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</si>
  <si>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</si>
  <si>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</si>
  <si>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</si>
  <si>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</si>
  <si>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</si>
  <si>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</si>
  <si>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</si>
  <si>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</si>
  <si>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</si>
  <si>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</si>
  <si>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</si>
  <si>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</si>
  <si>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</si>
  <si>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</si>
  <si>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</si>
  <si>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</si>
  <si>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</si>
  <si>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</si>
  <si>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</si>
  <si>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</si>
  <si>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</si>
  <si>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</si>
  <si>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</si>
  <si>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</si>
  <si>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</si>
  <si>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</si>
  <si>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</si>
  <si>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</si>
  <si>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</si>
  <si>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</si>
  <si>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</si>
  <si>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</si>
  <si>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</si>
  <si>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</si>
  <si>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</si>
  <si>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</si>
  <si>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</si>
  <si>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</si>
  <si>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</si>
  <si>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</si>
  <si>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</si>
  <si>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</si>
  <si>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</si>
  <si>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</si>
  <si>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</si>
  <si>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</si>
  <si>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</si>
  <si>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</si>
  <si>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</si>
  <si>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</si>
  <si>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</si>
  <si>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</si>
  <si>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</si>
  <si>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</si>
  <si>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</si>
  <si>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</si>
  <si>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</si>
  <si>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</si>
  <si>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</si>
  <si>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</si>
  <si>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</si>
  <si>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</si>
  <si>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</si>
  <si>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</si>
  <si>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</si>
  <si>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</si>
  <si>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</si>
  <si>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</si>
  <si>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</si>
  <si>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</si>
  <si>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</si>
  <si>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</si>
  <si>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</si>
  <si>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</si>
  <si>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</si>
  <si>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</si>
  <si>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</si>
  <si>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</si>
  <si>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</si>
  <si>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</si>
  <si>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</si>
  <si>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</si>
  <si>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</si>
  <si>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</si>
  <si>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</si>
  <si>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</si>
  <si>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</si>
  <si>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</si>
  <si>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</si>
  <si>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</si>
  <si>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</si>
  <si>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</si>
  <si>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</si>
  <si>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</si>
  <si>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</si>
  <si>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</si>
  <si>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</si>
  <si>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</si>
  <si>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</si>
  <si>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</si>
  <si>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</si>
  <si>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</si>
  <si>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</si>
  <si>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</si>
  <si>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</si>
  <si>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</si>
  <si>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</si>
  <si>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</si>
  <si>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</si>
  <si>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</si>
  <si>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</si>
  <si>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</si>
  <si>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</si>
  <si>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</si>
  <si>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</si>
  <si>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</si>
  <si>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</si>
  <si>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</si>
  <si>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</si>
  <si>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</si>
  <si>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</si>
  <si>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</si>
  <si>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</si>
  <si>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</si>
  <si>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</si>
  <si>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</si>
  <si>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</si>
  <si>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</si>
  <si>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</si>
  <si>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</si>
  <si>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</si>
  <si>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</si>
  <si>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</si>
  <si>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</si>
  <si>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</si>
  <si>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</si>
  <si>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</si>
  <si>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</si>
  <si>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</si>
  <si>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</si>
  <si>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</si>
  <si>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</si>
  <si>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</si>
  <si>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</si>
  <si>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</si>
  <si>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</si>
  <si>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</si>
  <si>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</si>
  <si>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</si>
  <si>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</si>
  <si>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</si>
  <si>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</si>
  <si>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</si>
  <si>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</si>
  <si>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</si>
  <si>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</si>
  <si>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</si>
  <si>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</si>
  <si>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</si>
  <si>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</si>
  <si>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</si>
  <si>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</si>
  <si>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</si>
  <si>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</si>
  <si>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</si>
  <si>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</si>
  <si>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</si>
  <si>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</si>
  <si>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</si>
  <si>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</si>
  <si>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</si>
  <si>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</si>
  <si>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</si>
  <si>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</si>
  <si>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</si>
  <si>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</si>
  <si>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</si>
  <si>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</si>
  <si>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</si>
  <si>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</si>
  <si>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</si>
  <si>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</si>
  <si>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</si>
  <si>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</si>
  <si>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</si>
  <si>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</si>
  <si>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</si>
  <si>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</si>
  <si>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</si>
  <si>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</si>
  <si>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</si>
  <si>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</si>
  <si>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</si>
  <si>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</si>
  <si>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</si>
  <si>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</si>
  <si>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</si>
  <si>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</si>
  <si>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</si>
  <si>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</si>
  <si>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</si>
  <si>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</si>
  <si>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</si>
  <si>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</si>
  <si>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</si>
  <si>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</si>
  <si>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</si>
  <si>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</si>
  <si>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</si>
  <si>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</si>
  <si>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</si>
  <si>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</si>
  <si>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</si>
  <si>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</si>
  <si>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</si>
  <si>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</si>
  <si>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</si>
  <si>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</si>
  <si>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</si>
  <si>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</si>
  <si>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</si>
  <si>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</si>
  <si>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</si>
  <si>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</si>
  <si>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</si>
  <si>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</si>
  <si>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</si>
  <si>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</si>
  <si>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</si>
  <si>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</si>
  <si>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</si>
  <si>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</si>
  <si>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</si>
  <si>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</si>
  <si>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</si>
  <si>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</si>
  <si>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</si>
  <si>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</si>
  <si>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</si>
  <si>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</si>
  <si>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</si>
  <si>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</si>
  <si>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</si>
  <si>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</si>
  <si>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</si>
  <si>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</si>
  <si>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</si>
  <si>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</si>
  <si>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</si>
  <si>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</si>
  <si>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</si>
  <si>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</si>
  <si>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</si>
  <si>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</si>
  <si>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</si>
  <si>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</si>
  <si>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</si>
  <si>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</si>
  <si>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</si>
  <si>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</si>
  <si>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</si>
  <si>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</si>
  <si>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</si>
  <si>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</si>
  <si>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</si>
  <si>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</si>
  <si>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</si>
  <si>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</si>
  <si>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</si>
  <si>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</si>
  <si>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</si>
  <si>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</si>
  <si>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</si>
  <si>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</si>
  <si>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</si>
  <si>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</si>
  <si>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</si>
  <si>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</si>
  <si>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</si>
  <si>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</si>
  <si>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</si>
  <si>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</si>
  <si>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</si>
  <si>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</si>
  <si>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</si>
  <si>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</si>
  <si>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</si>
  <si>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</si>
  <si>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</si>
  <si>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</si>
  <si>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</si>
  <si>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</si>
  <si>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</si>
  <si>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</si>
  <si>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</si>
  <si>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</si>
  <si>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</si>
  <si>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</si>
  <si>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</si>
  <si>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</si>
  <si>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</si>
  <si>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</si>
  <si>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</si>
  <si>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</si>
  <si>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</si>
  <si>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</si>
  <si>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</si>
  <si>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</si>
  <si>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</si>
  <si>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</si>
  <si>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</si>
  <si>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</si>
  <si>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</si>
  <si>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</si>
  <si>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</si>
  <si>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</si>
  <si>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</si>
  <si>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</si>
  <si>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</si>
  <si>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</si>
  <si>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</si>
  <si>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</si>
  <si>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</si>
  <si>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</si>
  <si>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</si>
  <si>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</si>
  <si>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</si>
  <si>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</si>
  <si>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</si>
  <si>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</si>
  <si>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</si>
  <si>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</si>
  <si>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</si>
  <si>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</si>
  <si>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</si>
  <si>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</si>
  <si>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</si>
  <si>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</si>
  <si>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</si>
  <si>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</si>
  <si>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</si>
  <si>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</si>
  <si>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</si>
  <si>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</si>
  <si>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</si>
  <si>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</si>
  <si>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</si>
  <si>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</si>
  <si>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</si>
  <si>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</si>
  <si>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</si>
  <si>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</si>
  <si>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</si>
  <si>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</si>
  <si>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</si>
  <si>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</si>
  <si>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</si>
  <si>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</si>
  <si>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</si>
  <si>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</si>
  <si>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</si>
  <si>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</si>
  <si>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</si>
  <si>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</si>
  <si>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</si>
  <si>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</si>
  <si>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</si>
  <si>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</si>
  <si>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</si>
  <si>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</si>
  <si>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</si>
  <si>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</si>
  <si>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</si>
  <si>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</si>
  <si>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</si>
  <si>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</si>
  <si>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</si>
  <si>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</si>
  <si>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</si>
  <si>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</si>
  <si>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</si>
  <si>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</si>
  <si>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</si>
  <si>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</si>
  <si>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</si>
  <si>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</si>
  <si>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</si>
  <si>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</si>
  <si>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</si>
  <si>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</si>
  <si>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</si>
  <si>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</si>
  <si>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</si>
  <si>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</si>
  <si>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</si>
  <si>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</si>
  <si>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</si>
  <si>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</si>
  <si>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</si>
  <si>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</si>
  <si>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</si>
  <si>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</si>
  <si>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</si>
  <si>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</si>
  <si>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</si>
  <si>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</si>
  <si>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</si>
  <si>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</si>
  <si>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</si>
  <si>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</si>
  <si>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</si>
  <si>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</si>
  <si>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</si>
  <si>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</si>
  <si>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</si>
  <si>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</si>
  <si>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</si>
  <si>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</si>
  <si>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</si>
  <si>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</si>
  <si>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</si>
  <si>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</si>
  <si>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</si>
  <si>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</si>
  <si>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</si>
  <si>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</si>
  <si>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</si>
  <si>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</si>
  <si>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</si>
  <si>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</si>
  <si>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</si>
  <si>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</si>
  <si>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</si>
  <si>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</si>
  <si>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</si>
  <si>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</si>
  <si>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</si>
  <si>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</si>
  <si>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</si>
  <si>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</si>
  <si>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</si>
  <si>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</si>
  <si>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</si>
  <si>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</si>
  <si>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</si>
  <si>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</si>
  <si>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</si>
  <si>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</si>
  <si>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</si>
  <si>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</si>
  <si>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</si>
  <si>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</si>
  <si>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</si>
  <si>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</si>
  <si>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</si>
  <si>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</si>
  <si>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</si>
  <si>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</si>
  <si>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</si>
  <si>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</si>
  <si>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</si>
  <si>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</si>
  <si>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</si>
  <si>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</si>
  <si>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</si>
  <si>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</si>
  <si>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</si>
  <si>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</si>
  <si>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</si>
  <si>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</si>
  <si>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</si>
  <si>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</si>
  <si>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</si>
  <si>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</si>
  <si>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</si>
  <si>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</si>
  <si>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</si>
  <si>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</si>
  <si>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</si>
  <si>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</si>
  <si>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</si>
  <si>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</si>
  <si>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</si>
  <si>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</si>
  <si>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</si>
  <si>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</si>
  <si>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</si>
  <si>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</si>
  <si>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</si>
  <si>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</si>
  <si>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</si>
  <si>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</si>
  <si>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</si>
  <si>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</si>
  <si>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</si>
  <si>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</si>
  <si>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</si>
  <si>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</si>
  <si>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</si>
  <si>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</si>
  <si>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</si>
  <si>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</si>
  <si>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</si>
  <si>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</si>
  <si>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</si>
  <si>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</si>
  <si>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</si>
  <si>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</si>
  <si>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</si>
  <si>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</si>
  <si>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</si>
  <si>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</si>
  <si>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</si>
  <si>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</si>
  <si>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</si>
  <si>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</si>
  <si>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</si>
  <si>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</si>
  <si>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</si>
  <si>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</si>
  <si>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</si>
  <si>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</si>
  <si>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</si>
  <si>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</si>
  <si>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</si>
  <si>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</si>
  <si>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</si>
  <si>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</si>
  <si>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</si>
  <si>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</si>
  <si>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</si>
  <si>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</si>
  <si>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</si>
  <si>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</si>
  <si>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</si>
  <si>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</si>
  <si>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</si>
  <si>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</si>
  <si>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</si>
  <si>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</si>
  <si>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</si>
  <si>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</si>
  <si>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</si>
  <si>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</si>
  <si>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</si>
  <si>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</si>
  <si>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</si>
  <si>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</si>
  <si>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</si>
  <si>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</si>
  <si>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</si>
  <si>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</si>
  <si>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</si>
  <si>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</si>
  <si>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</si>
  <si>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</si>
  <si>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</si>
  <si>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</si>
  <si>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</si>
  <si>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</si>
  <si>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</si>
  <si>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</si>
  <si>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</si>
  <si>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</si>
  <si>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</si>
  <si>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</si>
  <si>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</si>
  <si>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</si>
  <si>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</si>
  <si>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</si>
  <si>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</si>
  <si>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</si>
  <si>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</si>
  <si>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</si>
  <si>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</si>
  <si>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</si>
  <si>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</si>
  <si>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</si>
  <si>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</si>
  <si>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</si>
  <si>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</si>
  <si>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</si>
  <si>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</si>
  <si>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</si>
  <si>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</si>
  <si>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</si>
  <si>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</si>
  <si>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</si>
  <si>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</si>
  <si>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</si>
  <si>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</si>
  <si>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</si>
  <si>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</si>
  <si>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</si>
  <si>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</si>
  <si>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</si>
  <si>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</si>
  <si>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</si>
  <si>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</si>
  <si>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</si>
  <si>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</si>
  <si>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</si>
  <si>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</si>
  <si>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</si>
  <si>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</si>
  <si>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</si>
  <si>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</si>
  <si>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</si>
  <si>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</si>
  <si>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</si>
  <si>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</si>
  <si>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</si>
  <si>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</si>
  <si>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</si>
  <si>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</si>
  <si>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</si>
  <si>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</si>
  <si>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</si>
  <si>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</si>
  <si>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</si>
  <si>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</si>
  <si>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</si>
  <si>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</si>
  <si>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</si>
  <si>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</si>
  <si>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</si>
  <si>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</si>
  <si>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</si>
  <si>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</si>
  <si>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</si>
  <si>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</si>
  <si>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</si>
  <si>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</si>
  <si>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</si>
  <si>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</si>
  <si>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</si>
  <si>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</si>
  <si>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</si>
  <si>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</si>
  <si>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</si>
  <si>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</si>
  <si>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</si>
  <si>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</si>
  <si>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</si>
  <si>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</si>
  <si>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</si>
  <si>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</si>
  <si>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</si>
  <si>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</si>
  <si>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</si>
  <si>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</si>
  <si>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</si>
  <si>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</si>
  <si>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</si>
  <si>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</si>
  <si>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</si>
  <si>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</si>
  <si>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</si>
  <si>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</si>
  <si>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</si>
  <si>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</si>
  <si>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</si>
  <si>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</si>
  <si>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</si>
  <si>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</si>
  <si>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</si>
  <si>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</si>
  <si>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</si>
  <si>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</si>
  <si>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</si>
  <si>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</si>
  <si>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</si>
  <si>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</si>
  <si>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</si>
  <si>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</si>
  <si>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</si>
  <si>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</si>
  <si>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</si>
  <si>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</si>
  <si>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</si>
  <si>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</si>
  <si>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</si>
  <si>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</si>
  <si>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</si>
  <si>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</si>
  <si>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</si>
  <si>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</si>
  <si>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</si>
  <si>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</si>
  <si>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</si>
  <si>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</si>
  <si>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</si>
  <si>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</si>
  <si>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</si>
  <si>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</si>
  <si>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</si>
  <si>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</si>
  <si>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</si>
  <si>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</si>
  <si>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</si>
  <si>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</si>
  <si>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</si>
  <si>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</si>
  <si>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</si>
  <si>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</si>
  <si>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</si>
  <si>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</si>
  <si>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</si>
  <si>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</si>
  <si>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</si>
  <si>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</si>
  <si>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</si>
  <si>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</si>
  <si>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</si>
  <si>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</si>
  <si>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</si>
  <si>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</si>
  <si>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</si>
  <si>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</si>
  <si>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</si>
  <si>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</si>
  <si>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</si>
  <si>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</si>
  <si>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</si>
  <si>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</si>
  <si>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</si>
  <si>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</si>
  <si>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</si>
  <si>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</si>
  <si>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</si>
  <si>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</si>
  <si>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</si>
  <si>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</si>
  <si>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</si>
  <si>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</si>
  <si>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</si>
  <si>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</si>
  <si>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</si>
  <si>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</si>
  <si>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</si>
  <si>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</si>
  <si>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</si>
  <si>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</si>
  <si>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</si>
  <si>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</si>
  <si>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</si>
  <si>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</si>
  <si>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</si>
  <si>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</si>
  <si>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</si>
  <si>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</si>
  <si>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</si>
  <si>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</si>
  <si>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</si>
  <si>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</si>
  <si>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</si>
  <si>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</si>
  <si>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</si>
  <si>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</si>
  <si>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</si>
  <si>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</si>
  <si>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</si>
  <si>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</si>
  <si>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</si>
  <si>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</si>
  <si>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</si>
  <si>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</si>
  <si>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</si>
  <si>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</si>
  <si>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</si>
  <si>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</si>
  <si>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</si>
  <si>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</si>
  <si>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</si>
  <si>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</si>
  <si>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</si>
  <si>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</si>
  <si>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</si>
  <si>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</si>
  <si>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</si>
  <si>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</si>
  <si>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</si>
  <si>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</si>
  <si>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</si>
  <si>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</si>
  <si>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</si>
  <si>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</si>
  <si>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</si>
  <si>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</si>
  <si>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</si>
  <si>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</si>
  <si>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</si>
  <si>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</si>
  <si>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</si>
  <si>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</si>
  <si>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</si>
  <si>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</si>
  <si>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</si>
  <si>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</si>
  <si>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</si>
  <si>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</si>
  <si>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</si>
  <si>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</si>
  <si>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</si>
  <si>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</si>
  <si>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</si>
  <si>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</si>
  <si>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</si>
  <si>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</si>
  <si>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</si>
  <si>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</si>
  <si>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</si>
  <si>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</si>
  <si>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</si>
  <si>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</si>
  <si>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</si>
  <si>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</si>
  <si>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</si>
  <si>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</si>
  <si>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</si>
  <si>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</si>
  <si>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</si>
  <si>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</si>
  <si>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</si>
  <si>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</si>
  <si>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</si>
  <si>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</si>
  <si>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</si>
  <si>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</si>
  <si>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</si>
  <si>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</si>
  <si>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</si>
  <si>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</si>
  <si>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</si>
  <si>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</si>
  <si>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</si>
  <si>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</si>
  <si>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</si>
  <si>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</si>
  <si>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</si>
  <si>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</si>
  <si>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</si>
  <si>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</si>
  <si>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</si>
  <si>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</si>
  <si>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</si>
  <si>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</si>
  <si>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</si>
  <si>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</si>
  <si>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</si>
  <si>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</si>
  <si>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</si>
  <si>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</si>
  <si>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</si>
  <si>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</si>
  <si>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</si>
  <si>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</si>
  <si>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</si>
  <si>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</si>
  <si>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</si>
  <si>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</si>
  <si>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</si>
  <si>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</si>
  <si>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</si>
  <si>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</si>
  <si>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</si>
  <si>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</si>
  <si>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</si>
  <si>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</si>
  <si>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</si>
  <si>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</si>
  <si>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</si>
  <si>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</si>
  <si>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</si>
  <si>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</si>
  <si>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</si>
  <si>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</si>
  <si>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</si>
  <si>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</si>
  <si>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</si>
  <si>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</si>
  <si>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</si>
  <si>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</si>
  <si>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</si>
  <si>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</si>
  <si>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</si>
  <si>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</si>
  <si>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</si>
  <si>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</si>
  <si>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</si>
  <si>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</si>
  <si>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</si>
  <si>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</si>
  <si>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</si>
  <si>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</si>
  <si>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</si>
  <si>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</si>
  <si>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</si>
  <si>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</si>
  <si>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</si>
  <si>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</si>
  <si>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</si>
  <si>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</si>
  <si>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</si>
  <si>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</si>
  <si>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</si>
  <si>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</si>
  <si>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</si>
  <si>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</si>
  <si>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</si>
  <si>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</si>
  <si>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</si>
  <si>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</si>
  <si>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</si>
  <si>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</si>
  <si>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</si>
  <si>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</si>
  <si>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</si>
  <si>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</si>
  <si>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</si>
  <si>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</si>
  <si>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</si>
  <si>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</si>
  <si>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</si>
  <si>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</si>
  <si>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</si>
  <si>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</si>
  <si>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</si>
  <si>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</si>
  <si>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</si>
  <si>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</si>
  <si>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</si>
  <si>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</si>
  <si>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</si>
  <si>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</si>
  <si>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</si>
  <si>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</si>
  <si>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</si>
  <si>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</si>
  <si>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</si>
  <si>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</si>
  <si>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</si>
  <si>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</si>
  <si>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</si>
  <si>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</si>
  <si>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</si>
  <si>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</si>
  <si>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</si>
  <si>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</si>
  <si>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</si>
  <si>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</si>
  <si>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</si>
  <si>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</si>
  <si>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</si>
  <si>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</si>
  <si>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</si>
  <si>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</si>
  <si>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</si>
  <si>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</si>
  <si>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</si>
  <si>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</si>
  <si>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</si>
  <si>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</si>
  <si>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</si>
  <si>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</si>
  <si>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</si>
  <si>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</si>
  <si>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</si>
  <si>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</si>
  <si>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</si>
  <si>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</si>
  <si>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</si>
  <si>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</si>
  <si>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</si>
  <si>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</si>
  <si>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</si>
  <si>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</si>
  <si>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</si>
  <si>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</si>
  <si>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</si>
  <si>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</si>
  <si>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</si>
  <si>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</si>
  <si>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</si>
  <si>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</si>
  <si>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</si>
  <si>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</si>
  <si>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</si>
  <si>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</si>
  <si>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</si>
  <si>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</si>
  <si>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</si>
  <si>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</si>
  <si>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</si>
  <si>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</si>
  <si>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</si>
  <si>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</si>
  <si>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</si>
  <si>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</si>
  <si>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</si>
  <si>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</si>
  <si>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</si>
  <si>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</si>
  <si>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</si>
  <si>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</si>
  <si>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</si>
  <si>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</si>
  <si>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</si>
  <si>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</si>
  <si>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</si>
  <si>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</si>
  <si>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</si>
  <si>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</si>
  <si>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</si>
  <si>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</si>
  <si>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</si>
  <si>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</si>
  <si>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</si>
  <si>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</si>
  <si>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</si>
  <si>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</si>
  <si>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</si>
  <si>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</si>
  <si>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</si>
  <si>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</si>
  <si>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</si>
  <si>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</si>
  <si>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</si>
  <si>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</si>
  <si>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</si>
  <si>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</si>
  <si>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</si>
  <si>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</si>
  <si>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</si>
  <si>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</si>
  <si>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</si>
  <si>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</si>
  <si>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</si>
  <si>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</si>
  <si>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</si>
  <si>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</si>
  <si>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</si>
  <si>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</si>
  <si>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</si>
  <si>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</si>
  <si>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</si>
  <si>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</si>
  <si>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</si>
  <si>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</si>
  <si>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</si>
  <si>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</si>
  <si>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</si>
  <si>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</si>
  <si>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</si>
  <si>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</si>
  <si>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</si>
  <si>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</si>
  <si>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</si>
  <si>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</si>
  <si>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</si>
  <si>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</si>
  <si>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</si>
  <si>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</si>
  <si>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</si>
  <si>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</si>
  <si>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</si>
  <si>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</si>
  <si>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</si>
  <si>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</si>
  <si>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</si>
  <si>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</si>
  <si>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</si>
  <si>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</si>
  <si>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</si>
  <si>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</si>
  <si>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</si>
  <si>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</si>
  <si>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</si>
  <si>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</si>
  <si>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</si>
  <si>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</si>
  <si>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</si>
  <si>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</si>
  <si>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</si>
  <si>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</si>
  <si>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</si>
  <si>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</si>
  <si>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</si>
  <si>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</si>
  <si>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</si>
  <si>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</si>
  <si>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</si>
  <si>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</si>
  <si>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</si>
  <si>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</si>
  <si>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</si>
  <si>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</si>
  <si>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</si>
  <si>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</si>
  <si>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</si>
  <si>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</si>
  <si>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</si>
  <si>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</si>
  <si>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</si>
  <si>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</si>
  <si>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</si>
  <si>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</si>
  <si>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</si>
  <si>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</si>
  <si>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</si>
  <si>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</si>
  <si>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</si>
  <si>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</si>
  <si>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</si>
  <si>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</si>
  <si>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</si>
  <si>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</si>
  <si>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</si>
  <si>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</si>
  <si>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</si>
  <si>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</si>
  <si>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</si>
  <si>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</si>
  <si>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</si>
  <si>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</si>
  <si>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</si>
  <si>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</si>
  <si>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</si>
  <si>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</si>
  <si>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</si>
  <si>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</si>
  <si>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</si>
  <si>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</si>
  <si>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</si>
  <si>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</si>
  <si>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</si>
  <si>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</si>
  <si>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</si>
  <si>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</si>
  <si>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</si>
  <si>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</si>
  <si>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</si>
  <si>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</si>
  <si>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</si>
  <si>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</si>
  <si>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</si>
  <si>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</si>
  <si>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</si>
  <si>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</si>
  <si>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</si>
  <si>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</si>
  <si>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</si>
  <si>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</si>
  <si>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</si>
  <si>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</si>
  <si>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</si>
  <si>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</si>
  <si>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</si>
  <si>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</si>
  <si>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</si>
  <si>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</si>
  <si>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</si>
  <si>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</si>
  <si>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</si>
  <si>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</si>
  <si>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</si>
  <si>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</si>
  <si>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</si>
  <si>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</si>
  <si>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</si>
  <si>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</si>
  <si>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</si>
  <si>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</si>
  <si>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</si>
  <si>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</si>
  <si>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</si>
  <si>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</si>
  <si>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</si>
  <si>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</si>
  <si>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</si>
  <si>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</si>
  <si>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</si>
  <si>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</si>
  <si>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</si>
  <si>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</si>
  <si>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</si>
  <si>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</si>
  <si>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</si>
  <si>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</si>
  <si>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</si>
  <si>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</si>
  <si>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</si>
  <si>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</si>
  <si>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</si>
  <si>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</si>
  <si>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</si>
  <si>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</si>
  <si>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</si>
  <si>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</si>
  <si>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</si>
  <si>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</si>
  <si>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</si>
  <si>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</si>
  <si>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</si>
  <si>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</si>
  <si>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</si>
  <si>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</si>
  <si>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</si>
  <si>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</si>
  <si>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</si>
  <si>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</si>
  <si>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</si>
  <si>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</si>
  <si>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</si>
  <si>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</si>
  <si>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</si>
  <si>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</si>
  <si>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</si>
  <si>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</si>
  <si>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</si>
  <si>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</si>
  <si>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</si>
  <si>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</si>
  <si>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</si>
  <si>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</si>
  <si>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</si>
  <si>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</si>
  <si>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</si>
  <si>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</si>
  <si>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</si>
  <si>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</si>
  <si>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</si>
  <si>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</si>
  <si>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</si>
  <si>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</si>
  <si>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</si>
  <si>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</si>
  <si>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</si>
  <si>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</si>
  <si>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</si>
  <si>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</si>
  <si>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</si>
  <si>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</si>
  <si>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</si>
  <si>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</si>
  <si>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</si>
  <si>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</si>
  <si>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</si>
  <si>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</si>
  <si>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</si>
  <si>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</si>
  <si>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</si>
  <si>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</si>
  <si>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</si>
  <si>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</si>
  <si>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</si>
  <si>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</si>
  <si>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</si>
  <si>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</si>
  <si>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</si>
  <si>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</si>
  <si>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</si>
  <si>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</si>
  <si>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</si>
  <si>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</si>
  <si>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</si>
  <si>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</si>
  <si>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</si>
  <si>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</si>
  <si>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</si>
  <si>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</si>
  <si>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</si>
  <si>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</si>
  <si>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</si>
  <si>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</si>
  <si>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</si>
  <si>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</si>
  <si>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</si>
  <si>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</si>
  <si>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</si>
  <si>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</si>
  <si>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</si>
  <si>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</si>
  <si>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</si>
  <si>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</si>
  <si>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</si>
  <si>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</si>
  <si>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</si>
  <si>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</si>
  <si>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</si>
  <si>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</si>
  <si>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</si>
  <si>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</si>
  <si>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</si>
  <si>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</si>
  <si>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</si>
  <si>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</si>
  <si>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</si>
  <si>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</si>
  <si>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</si>
  <si>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</si>
  <si>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</si>
  <si>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</si>
  <si>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</si>
  <si>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</si>
  <si>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</si>
  <si>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</si>
  <si>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</si>
  <si>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</si>
  <si>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</si>
  <si>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</si>
  <si>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</si>
  <si>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</si>
  <si>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</si>
  <si>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</si>
  <si>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</si>
  <si>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</si>
  <si>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</si>
  <si>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</si>
  <si>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</si>
  <si>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</si>
  <si>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</si>
  <si>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</si>
  <si>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</si>
  <si>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</si>
  <si>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</si>
  <si>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</si>
  <si>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</si>
  <si>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</si>
  <si>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</si>
  <si>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</si>
  <si>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</si>
  <si>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</si>
  <si>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</si>
  <si>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</si>
  <si>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</si>
  <si>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</si>
  <si>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</si>
  <si>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</si>
  <si>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</si>
  <si>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</si>
  <si>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</si>
  <si>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</si>
  <si>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</si>
  <si>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</si>
  <si>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</si>
  <si>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</si>
  <si>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</si>
  <si>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</si>
  <si>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</si>
  <si>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</si>
  <si>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</si>
  <si>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</si>
  <si>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</si>
  <si>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</si>
  <si>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</si>
  <si>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</si>
  <si>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</si>
  <si>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</si>
  <si>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</si>
  <si>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</si>
  <si>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</si>
  <si>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</si>
  <si>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</si>
  <si>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</si>
  <si>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</si>
  <si>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</si>
  <si>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</si>
  <si>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</si>
  <si>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</si>
  <si>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</si>
  <si>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</si>
  <si>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</si>
  <si>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</si>
  <si>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</si>
  <si>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</si>
  <si>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</si>
  <si>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</si>
  <si>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</si>
  <si>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</si>
  <si>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</si>
  <si>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</si>
  <si>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</si>
  <si>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</si>
  <si>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</si>
  <si>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</si>
  <si>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</si>
  <si>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</si>
  <si>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</si>
  <si>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</si>
  <si>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</si>
  <si>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</si>
  <si>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</si>
  <si>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</si>
  <si>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</si>
  <si>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</si>
  <si>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</si>
  <si>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</si>
  <si>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</si>
  <si>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</si>
  <si>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</si>
  <si>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</si>
  <si>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</si>
  <si>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</si>
  <si>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</si>
  <si>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</si>
  <si>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</si>
  <si>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</si>
  <si>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</si>
  <si>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</si>
  <si>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</si>
  <si>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</si>
  <si>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</si>
  <si>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</si>
  <si>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</si>
  <si>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</si>
  <si>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</si>
  <si>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</si>
  <si>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</si>
  <si>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</si>
  <si>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</si>
  <si>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</si>
  <si>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</si>
  <si>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</si>
  <si>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</si>
  <si>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</si>
  <si>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</si>
  <si>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</si>
  <si>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</si>
  <si>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</si>
  <si>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</si>
  <si>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</si>
  <si>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</si>
  <si>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</si>
  <si>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</si>
  <si>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</si>
  <si>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</si>
  <si>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</si>
  <si>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</si>
  <si>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</si>
  <si>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</si>
  <si>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</si>
  <si>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</si>
  <si>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</si>
  <si>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</si>
  <si>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</si>
  <si>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</si>
  <si>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</si>
  <si>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</si>
  <si>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</si>
  <si>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</si>
  <si>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</si>
  <si>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</si>
  <si>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</si>
  <si>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</si>
  <si>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</si>
  <si>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</si>
  <si>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</si>
  <si>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</si>
  <si>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</si>
  <si>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</si>
  <si>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</si>
  <si>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</si>
  <si>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</si>
  <si>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</si>
  <si>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</si>
  <si>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</si>
  <si>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</si>
  <si>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</si>
  <si>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</si>
  <si>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</si>
  <si>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</si>
  <si>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</si>
  <si>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</si>
  <si>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</si>
  <si>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</si>
  <si>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</si>
  <si>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</si>
  <si>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</si>
  <si>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</si>
  <si>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</si>
  <si>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</si>
  <si>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</si>
  <si>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</si>
  <si>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</si>
  <si>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</si>
  <si>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</si>
  <si>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</si>
  <si>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</si>
  <si>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</si>
  <si>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</si>
  <si>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</si>
  <si>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</si>
  <si>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</si>
  <si>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</si>
  <si>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</si>
  <si>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</si>
  <si>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</si>
  <si>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</si>
  <si>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</si>
  <si>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</si>
  <si>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</si>
  <si>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</si>
  <si>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</si>
  <si>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</si>
  <si>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</si>
  <si>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</si>
  <si>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</si>
  <si>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</si>
  <si>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</si>
  <si>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</si>
  <si>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</si>
  <si>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</si>
  <si>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</si>
  <si>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</si>
  <si>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</si>
  <si>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</si>
  <si>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</si>
  <si>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</si>
  <si>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</si>
  <si>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</si>
  <si>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</si>
  <si>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</si>
  <si>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</si>
  <si>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</si>
  <si>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</si>
  <si>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</si>
  <si>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</si>
  <si>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</si>
  <si>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</si>
  <si>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</si>
  <si>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</si>
  <si>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</si>
  <si>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</si>
  <si>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</si>
  <si>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</si>
  <si>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</si>
  <si>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</si>
  <si>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</si>
  <si>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</si>
  <si>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</si>
  <si>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</si>
  <si>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</si>
  <si>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</si>
  <si>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</si>
  <si>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</si>
  <si>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</si>
  <si>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</si>
  <si>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</si>
  <si>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</si>
  <si>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</si>
  <si>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</si>
  <si>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</si>
  <si>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</si>
  <si>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</si>
  <si>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</si>
  <si>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</si>
  <si>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</si>
  <si>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</si>
  <si>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</si>
  <si>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</si>
  <si>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</si>
  <si>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</si>
  <si>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</si>
  <si>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</si>
  <si>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</si>
  <si>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</si>
  <si>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</si>
  <si>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</si>
  <si>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</si>
  <si>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</si>
  <si>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</si>
  <si>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</si>
  <si>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</si>
  <si>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</si>
  <si>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</si>
  <si>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</si>
  <si>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</si>
  <si>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</si>
  <si>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</si>
  <si>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</si>
  <si>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</si>
  <si>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</si>
  <si>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</si>
  <si>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</si>
  <si>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</si>
  <si>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</si>
  <si>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</si>
  <si>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</si>
  <si>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</si>
  <si>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</si>
  <si>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</si>
  <si>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</si>
  <si>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</si>
  <si>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</si>
  <si>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</si>
  <si>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</si>
  <si>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</si>
  <si>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</si>
  <si>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</si>
  <si>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</si>
  <si>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</si>
  <si>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</si>
  <si>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</si>
  <si>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</si>
  <si>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</si>
  <si>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</si>
  <si>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</si>
  <si>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</si>
  <si>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</si>
  <si>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</si>
  <si>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</si>
  <si>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</si>
  <si>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</si>
  <si>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</si>
  <si>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</si>
  <si>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</si>
  <si>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</si>
  <si>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</si>
  <si>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</si>
  <si>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</si>
  <si>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</si>
  <si>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</si>
  <si>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</si>
  <si>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</si>
  <si>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</si>
  <si>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</si>
  <si>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</si>
  <si>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</si>
  <si>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</si>
  <si>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</si>
  <si>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</si>
  <si>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</si>
  <si>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</si>
  <si>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</si>
  <si>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</si>
  <si>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</si>
  <si>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</si>
  <si>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</si>
  <si>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</si>
  <si>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</si>
  <si>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</si>
  <si>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</si>
  <si>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</si>
  <si>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</si>
  <si>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</si>
  <si>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</si>
  <si>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</si>
  <si>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</si>
  <si>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</si>
  <si>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</si>
  <si>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</si>
  <si>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</si>
  <si>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</si>
  <si>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</si>
  <si>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</si>
  <si>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</si>
  <si>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</si>
  <si>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</si>
  <si>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</si>
  <si>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</si>
  <si>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</si>
  <si>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</si>
  <si>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</si>
  <si>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</si>
  <si>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</si>
  <si>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</si>
  <si>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</si>
  <si>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</si>
  <si>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</si>
  <si>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</si>
  <si>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</si>
  <si>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</si>
  <si>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</si>
  <si>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</si>
  <si>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</si>
  <si>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</si>
  <si>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</si>
  <si>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</si>
  <si>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</si>
  <si>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</si>
  <si>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</si>
  <si>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</si>
  <si>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</si>
  <si>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</si>
  <si>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</si>
  <si>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</si>
  <si>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</si>
  <si>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</si>
  <si>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</si>
  <si>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</si>
  <si>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</si>
  <si>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</si>
  <si>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</si>
  <si>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</si>
  <si>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</si>
  <si>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</si>
  <si>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</si>
  <si>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</si>
  <si>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</si>
  <si>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</si>
  <si>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</si>
  <si>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</si>
  <si>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</si>
  <si>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</si>
  <si>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</si>
  <si>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</si>
  <si>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</si>
  <si>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</si>
  <si>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</si>
  <si>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</si>
  <si>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</si>
  <si>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</si>
  <si>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</si>
  <si>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</si>
  <si>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</si>
  <si>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</si>
  <si>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</si>
  <si>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</si>
  <si>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</si>
  <si>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</si>
  <si>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</si>
  <si>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</si>
  <si>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</si>
  <si>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</si>
  <si>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</si>
  <si>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</si>
  <si>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</si>
  <si>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</si>
  <si>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</si>
  <si>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</si>
  <si>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</si>
  <si>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</si>
  <si>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</si>
  <si>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</si>
  <si>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</si>
  <si>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</si>
  <si>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</si>
  <si>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</si>
  <si>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</si>
  <si>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</si>
  <si>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</si>
  <si>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</si>
  <si>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</si>
  <si>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</si>
  <si>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</si>
  <si>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</si>
  <si>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</si>
  <si>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</si>
  <si>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</si>
  <si>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</si>
  <si>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</si>
  <si>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</si>
  <si>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</si>
  <si>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</si>
  <si>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</si>
  <si>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</si>
  <si>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</si>
  <si>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</si>
  <si>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</si>
  <si>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</si>
  <si>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</si>
  <si>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</si>
  <si>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</si>
  <si>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</si>
  <si>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</si>
  <si>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</si>
  <si>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</si>
  <si>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</si>
  <si>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</si>
  <si>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</si>
  <si>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</si>
  <si>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</si>
  <si>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</si>
  <si>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</si>
  <si>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</si>
  <si>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</si>
  <si>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</si>
  <si>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</si>
  <si>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</si>
  <si>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</si>
  <si>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</si>
  <si>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</si>
  <si>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</si>
  <si>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</si>
  <si>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</si>
  <si>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</si>
  <si>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</si>
  <si>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</si>
  <si>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</si>
  <si>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</si>
  <si>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</si>
  <si>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</si>
  <si>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</si>
  <si>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</si>
  <si>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</si>
  <si>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</si>
  <si>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</si>
  <si>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</si>
  <si>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</si>
  <si>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</si>
  <si>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</si>
  <si>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</si>
  <si>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</si>
  <si>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</si>
  <si>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</si>
  <si>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</si>
  <si>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</si>
  <si>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</si>
  <si>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</si>
  <si>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</si>
  <si>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</si>
  <si>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</si>
  <si>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</si>
  <si>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</si>
  <si>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</si>
  <si>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</si>
  <si>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</si>
  <si>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</si>
  <si>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</si>
  <si>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</si>
  <si>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</si>
  <si>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</si>
  <si>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</si>
  <si>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</si>
  <si>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</si>
  <si>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</si>
  <si>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</si>
  <si>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</si>
  <si>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</si>
  <si>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</si>
  <si>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</si>
  <si>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</si>
  <si>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</si>
  <si>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</si>
  <si>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</si>
  <si>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</si>
  <si>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</si>
  <si>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</si>
  <si>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</si>
  <si>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</si>
  <si>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</si>
  <si>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</si>
  <si>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</si>
  <si>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</si>
  <si>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</si>
  <si>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</si>
  <si>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</si>
  <si>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</si>
  <si>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</si>
  <si>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</si>
  <si>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</si>
  <si>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</si>
  <si>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</si>
  <si>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</si>
  <si>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</si>
  <si>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</si>
  <si>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</si>
  <si>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</si>
  <si>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</si>
  <si>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</si>
  <si>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</si>
  <si>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</si>
  <si>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</si>
  <si>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</si>
  <si>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</si>
  <si>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</si>
  <si>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</si>
  <si>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</si>
  <si>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</si>
  <si>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</si>
  <si>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</si>
  <si>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</si>
  <si>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</si>
  <si>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</si>
  <si>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</si>
  <si>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</si>
  <si>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</si>
  <si>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</si>
  <si>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</si>
  <si>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</si>
  <si>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</si>
  <si>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</si>
  <si>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</si>
  <si>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</si>
  <si>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</si>
  <si>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</si>
  <si>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</si>
  <si>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</si>
  <si>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</si>
  <si>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</si>
  <si>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</si>
  <si>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</si>
  <si>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</si>
  <si>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</si>
  <si>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</si>
  <si>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</si>
  <si>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</si>
  <si>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</si>
  <si>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</si>
  <si>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</si>
  <si>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</si>
  <si>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</si>
  <si>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</si>
  <si>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</si>
  <si>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</si>
  <si>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</si>
  <si>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</si>
  <si>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</si>
  <si>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</si>
  <si>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</si>
  <si>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</si>
  <si>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</si>
  <si>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</si>
  <si>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</si>
  <si>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</si>
  <si>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</si>
  <si>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</si>
  <si>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</si>
  <si>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</si>
  <si>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</si>
  <si>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</si>
  <si>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</si>
  <si>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</si>
  <si>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</si>
  <si>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</si>
  <si>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</si>
  <si>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</si>
  <si>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</si>
  <si>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</si>
  <si>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</si>
  <si>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</si>
  <si>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</si>
  <si>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</si>
  <si>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</si>
  <si>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</si>
  <si>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</si>
  <si>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</si>
  <si>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</si>
  <si>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</si>
  <si>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</si>
  <si>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</si>
  <si>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</si>
  <si>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</si>
  <si>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</si>
  <si>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</si>
  <si>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</si>
  <si>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</si>
  <si>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</si>
  <si>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</si>
  <si>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</si>
  <si>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</si>
  <si>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</si>
  <si>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</si>
  <si>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</si>
  <si>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</si>
  <si>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</si>
  <si>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</si>
  <si>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</si>
  <si>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</si>
  <si>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</si>
  <si>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</si>
  <si>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</si>
  <si>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</si>
  <si>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</si>
  <si>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</si>
  <si>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</si>
  <si>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</si>
  <si>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</si>
  <si>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</si>
  <si>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</si>
  <si>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</si>
  <si>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</si>
  <si>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</si>
  <si>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</si>
  <si>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</si>
  <si>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</si>
  <si>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</si>
  <si>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</si>
  <si>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</si>
  <si>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</si>
  <si>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</si>
  <si>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</si>
  <si>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</si>
  <si>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</si>
  <si>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</si>
  <si>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</si>
  <si>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</si>
  <si>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</si>
  <si>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</si>
  <si>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</si>
  <si>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</si>
  <si>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</si>
  <si>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</si>
  <si>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</si>
  <si>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</si>
  <si>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</si>
  <si>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</si>
  <si>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</si>
  <si>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</si>
  <si>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</si>
  <si>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</si>
  <si>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</si>
  <si>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</si>
  <si>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</si>
  <si>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</si>
  <si>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</si>
  <si>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</si>
  <si>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</si>
  <si>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</si>
  <si>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</si>
  <si>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</si>
  <si>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</si>
  <si>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</si>
  <si>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</si>
  <si>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</si>
  <si>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</si>
  <si>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</si>
  <si>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</si>
  <si>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</si>
  <si>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</si>
  <si>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</si>
  <si>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</si>
  <si>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</si>
  <si>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</si>
  <si>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</si>
  <si>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</si>
  <si>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</si>
  <si>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</si>
  <si>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</si>
  <si>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</si>
  <si>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</si>
  <si>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</si>
  <si>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</si>
  <si>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</si>
  <si>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</si>
  <si>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</si>
  <si>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</si>
  <si>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</si>
  <si>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</si>
  <si>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</si>
  <si>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</si>
  <si>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</si>
  <si>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</si>
  <si>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</si>
  <si>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</si>
  <si>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</si>
  <si>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</si>
  <si>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</si>
  <si>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</si>
  <si>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</si>
  <si>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</si>
  <si>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</si>
  <si>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</si>
  <si>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</si>
  <si>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</si>
  <si>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</si>
  <si>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</si>
  <si>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</si>
  <si>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</si>
  <si>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</si>
  <si>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</si>
  <si>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</si>
  <si>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</si>
  <si>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</si>
  <si>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</si>
  <si>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</si>
  <si>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</si>
  <si>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</si>
  <si>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</si>
  <si>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</si>
  <si>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</si>
  <si>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</si>
  <si>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</si>
  <si>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</si>
  <si>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</si>
  <si>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</si>
  <si>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</si>
  <si>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</si>
  <si>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</si>
  <si>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</si>
  <si>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</si>
  <si>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</si>
  <si>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</si>
  <si>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</si>
  <si>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</si>
  <si>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</si>
  <si>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</si>
  <si>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</si>
  <si>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</si>
  <si>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</si>
  <si>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</si>
  <si>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</si>
  <si>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</si>
  <si>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</si>
  <si>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</si>
  <si>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</si>
  <si>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</si>
  <si>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</si>
  <si>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</si>
  <si>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</si>
  <si>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</si>
  <si>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</si>
  <si>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</si>
  <si>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</si>
  <si>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</si>
  <si>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</si>
  <si>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</si>
  <si>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</si>
  <si>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</si>
  <si>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</si>
  <si>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</si>
  <si>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</si>
  <si>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</si>
  <si>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</si>
  <si>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</si>
  <si>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</si>
  <si>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</si>
  <si>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</si>
  <si>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</si>
  <si>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</si>
  <si>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</si>
  <si>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</si>
  <si>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</si>
  <si>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</si>
  <si>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</si>
  <si>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</si>
  <si>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</si>
  <si>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</si>
  <si>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</si>
  <si>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</si>
  <si>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</si>
  <si>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</si>
  <si>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</si>
  <si>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</si>
  <si>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</si>
  <si>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</si>
  <si>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</si>
  <si>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</si>
  <si>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</si>
  <si>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</si>
  <si>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</si>
  <si>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</si>
  <si>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</si>
  <si>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</si>
  <si>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</si>
  <si>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</si>
  <si>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</si>
  <si>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</si>
  <si>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</si>
  <si>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</si>
  <si>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</si>
  <si>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</si>
  <si>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</si>
  <si>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</si>
  <si>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</si>
  <si>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</si>
  <si>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</si>
  <si>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</si>
  <si>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</si>
  <si>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</si>
  <si>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</si>
  <si>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</si>
  <si>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</si>
  <si>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</si>
  <si>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</si>
  <si>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</si>
  <si>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</si>
  <si>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</si>
  <si>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</si>
  <si>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</si>
  <si>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</si>
  <si>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</si>
  <si>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</si>
  <si>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</si>
  <si>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</si>
  <si>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</si>
  <si>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</si>
  <si>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</si>
  <si>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</si>
  <si>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</si>
  <si>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</si>
  <si>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</si>
  <si>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</si>
  <si>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</si>
  <si>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</si>
  <si>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</si>
  <si>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</si>
  <si>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</si>
  <si>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</si>
  <si>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</si>
  <si>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</si>
  <si>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</si>
  <si>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</si>
  <si>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</si>
  <si>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</si>
  <si>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</si>
  <si>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</si>
  <si>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</si>
  <si>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</si>
  <si>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</si>
  <si>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</si>
  <si>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</si>
  <si>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</si>
  <si>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</si>
  <si>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</si>
  <si>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</si>
  <si>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</si>
  <si>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</si>
  <si>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</si>
  <si>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</si>
  <si>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</si>
  <si>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</si>
  <si>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</si>
  <si>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</si>
  <si>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</si>
  <si>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</si>
  <si>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</si>
  <si>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</si>
  <si>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</si>
  <si>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</si>
  <si>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</si>
  <si>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</si>
  <si>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</si>
  <si>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</si>
  <si>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</si>
  <si>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</si>
  <si>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</si>
  <si>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</si>
  <si>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</si>
  <si>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</si>
  <si>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</si>
  <si>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</si>
  <si>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</si>
  <si>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</si>
  <si>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</si>
  <si>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</si>
  <si>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</si>
  <si>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</si>
  <si>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</si>
  <si>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</si>
  <si>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</si>
  <si>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</si>
  <si>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</si>
  <si>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</si>
  <si>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</si>
  <si>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</si>
  <si>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</si>
  <si>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</si>
  <si>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</si>
  <si>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</si>
  <si>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</si>
  <si>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</si>
  <si>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</si>
  <si>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</si>
  <si>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</si>
  <si>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</si>
  <si>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</si>
  <si>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</si>
  <si>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</si>
  <si>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</si>
  <si>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</si>
  <si>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</si>
  <si>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</si>
  <si>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</si>
  <si>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</si>
  <si>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</si>
  <si>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</si>
  <si>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</si>
  <si>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</si>
  <si>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</si>
  <si>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</si>
  <si>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</si>
  <si>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</si>
  <si>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</si>
  <si>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</si>
  <si>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</si>
  <si>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</si>
  <si>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</si>
  <si>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</si>
  <si>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</si>
  <si>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</si>
  <si>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</si>
  <si>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</si>
  <si>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</si>
  <si>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</si>
  <si>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</si>
  <si>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</si>
  <si>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</si>
  <si>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</si>
  <si>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</si>
  <si>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</si>
  <si>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</si>
  <si>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</si>
  <si>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</si>
  <si>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</si>
  <si>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</si>
  <si>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</si>
  <si>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</si>
  <si>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</si>
  <si>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</si>
  <si>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</si>
  <si>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</si>
  <si>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</si>
  <si>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</si>
  <si>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</si>
  <si>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</si>
  <si>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</si>
  <si>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</si>
  <si>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</si>
  <si>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</si>
  <si>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</si>
  <si>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</si>
  <si>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</si>
  <si>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</si>
  <si>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</si>
  <si>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</si>
  <si>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</si>
  <si>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</si>
  <si>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</si>
  <si>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</si>
  <si>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</si>
  <si>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</si>
  <si>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</si>
  <si>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</si>
  <si>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</si>
  <si>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</si>
  <si>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</si>
  <si>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</si>
  <si>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</si>
  <si>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</si>
  <si>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</si>
  <si>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</si>
  <si>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</si>
  <si>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</si>
  <si>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</si>
  <si>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</si>
  <si>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</si>
  <si>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</si>
  <si>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</si>
  <si>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</si>
  <si>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</si>
  <si>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</si>
  <si>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</si>
  <si>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</si>
  <si>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</si>
  <si>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</si>
  <si>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</si>
  <si>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</si>
  <si>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</si>
  <si>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</si>
  <si>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</si>
  <si>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</si>
  <si>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</si>
  <si>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</si>
  <si>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</si>
  <si>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</si>
  <si>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</si>
  <si>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</si>
  <si>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</si>
  <si>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</si>
  <si>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</si>
  <si>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</si>
  <si>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</si>
  <si>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</si>
  <si>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</si>
  <si>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</si>
  <si>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</si>
  <si>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</si>
  <si>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</si>
  <si>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</si>
  <si>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</si>
  <si>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</si>
  <si>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</si>
  <si>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</si>
  <si>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</si>
  <si>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</si>
  <si>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</si>
  <si>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</si>
  <si>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</si>
  <si>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</si>
  <si>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</si>
  <si>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</si>
  <si>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</si>
  <si>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</si>
  <si>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</si>
  <si>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</si>
  <si>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</si>
  <si>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</si>
  <si>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</si>
  <si>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</si>
  <si>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</si>
  <si>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</si>
  <si>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</si>
  <si>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</si>
  <si>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</si>
  <si>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</si>
  <si>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</si>
  <si>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</si>
  <si>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</si>
  <si>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</si>
  <si>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</si>
  <si>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</si>
  <si>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</si>
  <si>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</si>
  <si>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</si>
  <si>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</si>
  <si>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</si>
  <si>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</si>
  <si>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</si>
  <si>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</si>
  <si>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</si>
  <si>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</si>
  <si>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</si>
  <si>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</si>
  <si>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</si>
  <si>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</si>
  <si>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</si>
  <si>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</si>
  <si>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</si>
  <si>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</si>
  <si>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</si>
  <si>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</si>
  <si>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</si>
  <si>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</si>
  <si>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</si>
  <si>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</si>
  <si>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</si>
  <si>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</si>
  <si>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</si>
  <si>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</si>
  <si>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</si>
  <si>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</si>
  <si>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</si>
  <si>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</si>
  <si>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</si>
  <si>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</si>
  <si>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</si>
  <si>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</si>
  <si>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</si>
  <si>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</si>
  <si>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</si>
  <si>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</si>
  <si>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</si>
  <si>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</si>
  <si>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</si>
  <si>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</si>
  <si>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</si>
  <si>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</si>
  <si>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</si>
  <si>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</si>
  <si>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</si>
  <si>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</si>
  <si>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</si>
  <si>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</si>
  <si>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</si>
  <si>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</si>
  <si>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</si>
  <si>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</si>
  <si>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</si>
  <si>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</si>
  <si>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</si>
  <si>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</si>
  <si>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</si>
  <si>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</si>
  <si>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</si>
  <si>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</si>
  <si>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</si>
  <si>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</si>
  <si>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</si>
  <si>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</si>
  <si>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</si>
  <si>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</si>
  <si>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</si>
  <si>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</si>
  <si>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</si>
  <si>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</si>
  <si>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</si>
  <si>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</si>
  <si>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</si>
  <si>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</si>
  <si>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</si>
  <si>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</si>
  <si>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</si>
  <si>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</si>
  <si>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</si>
  <si>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</si>
  <si>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</si>
  <si>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</si>
  <si>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</si>
  <si>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</si>
  <si>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</si>
  <si>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</si>
  <si>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</si>
  <si>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</si>
  <si>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</si>
  <si>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</si>
  <si>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</si>
  <si>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</si>
  <si>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</si>
  <si>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</si>
  <si>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</si>
  <si>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</si>
  <si>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</si>
  <si>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</si>
  <si>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</si>
  <si>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</si>
  <si>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</si>
  <si>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</si>
  <si>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</si>
  <si>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</si>
  <si>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</si>
  <si>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</si>
  <si>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</si>
  <si>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</si>
  <si>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</si>
  <si>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</si>
  <si>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</si>
  <si>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</si>
  <si>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</si>
  <si>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</si>
  <si>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</si>
  <si>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</si>
  <si>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</si>
  <si>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</si>
  <si>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</si>
  <si>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</si>
  <si>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</si>
  <si>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</si>
  <si>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</si>
  <si>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</si>
  <si>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</si>
  <si>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</si>
  <si>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</si>
  <si>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</si>
  <si>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</si>
  <si>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</si>
  <si>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</si>
  <si>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</si>
  <si>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</si>
  <si>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</si>
  <si>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</si>
  <si>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</si>
  <si>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</si>
  <si>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</si>
  <si>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</si>
  <si>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</si>
  <si>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</si>
  <si>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</si>
  <si>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</si>
  <si>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</si>
  <si>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</si>
  <si>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</si>
  <si>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</si>
  <si>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</si>
  <si>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</si>
  <si>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</si>
  <si>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</si>
  <si>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</si>
  <si>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</si>
  <si>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</si>
  <si>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</si>
  <si>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</si>
  <si>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</si>
  <si>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</si>
  <si>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</si>
  <si>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</si>
  <si>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</si>
  <si>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</si>
  <si>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</si>
  <si>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</si>
  <si>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</si>
  <si>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</si>
  <si>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</si>
  <si>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</si>
  <si>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</si>
  <si>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</si>
  <si>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</si>
  <si>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</si>
  <si>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</si>
  <si>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</si>
  <si>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</si>
  <si>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</si>
  <si>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</si>
  <si>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</si>
  <si>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</si>
  <si>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</si>
  <si>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</si>
  <si>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</si>
  <si>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</si>
  <si>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</si>
  <si>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</si>
  <si>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</si>
  <si>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</si>
  <si>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</si>
  <si>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</si>
  <si>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</si>
  <si>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</si>
  <si>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</si>
  <si>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</si>
  <si>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</si>
  <si>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</si>
  <si>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</si>
  <si>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</si>
  <si>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</si>
  <si>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</si>
  <si>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</si>
  <si>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</si>
  <si>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</si>
  <si>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</si>
  <si>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</si>
  <si>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</si>
  <si>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</si>
  <si>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</si>
  <si>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</si>
  <si>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</si>
  <si>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</si>
  <si>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</si>
  <si>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</si>
  <si>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</si>
  <si>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</si>
  <si>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</si>
  <si>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</si>
  <si>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</si>
  <si>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</si>
  <si>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</si>
  <si>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</si>
  <si>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</si>
  <si>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</si>
  <si>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</si>
  <si>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</si>
  <si>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</si>
  <si>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</si>
  <si>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</si>
  <si>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</si>
  <si>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</si>
  <si>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</si>
  <si>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</si>
  <si>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</si>
  <si>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</si>
  <si>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</si>
  <si>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</si>
  <si>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</si>
  <si>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</si>
  <si>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</si>
  <si>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</si>
  <si>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</si>
  <si>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</si>
  <si>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</si>
  <si>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</si>
  <si>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</si>
  <si>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</si>
  <si>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</si>
  <si>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</si>
  <si>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</si>
  <si>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</si>
  <si>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</si>
  <si>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</si>
  <si>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</si>
  <si>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</si>
  <si>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</si>
  <si>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</si>
  <si>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</si>
  <si>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</si>
  <si>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</si>
  <si>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</si>
  <si>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</si>
  <si>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</si>
  <si>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</si>
  <si>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</si>
  <si>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</si>
  <si>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</si>
  <si>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</si>
  <si>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</si>
  <si>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</si>
  <si>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</si>
  <si>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</si>
  <si>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</si>
  <si>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</si>
  <si>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</si>
  <si>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</si>
  <si>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</si>
  <si>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</si>
  <si>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</si>
  <si>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</si>
  <si>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</si>
  <si>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</si>
  <si>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</si>
  <si>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</si>
  <si>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</si>
  <si>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</si>
  <si>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</si>
  <si>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</si>
  <si>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</si>
  <si>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</si>
  <si>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</si>
  <si>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</si>
  <si>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</si>
  <si>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</si>
  <si>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</si>
  <si>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</si>
  <si>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</si>
  <si>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</si>
  <si>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</si>
  <si>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</si>
  <si>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</si>
  <si>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</si>
  <si>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</si>
  <si>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</si>
  <si>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</si>
  <si>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</si>
  <si>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</si>
  <si>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</si>
  <si>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</si>
  <si>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</si>
  <si>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</si>
  <si>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</si>
  <si>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</si>
  <si>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</si>
  <si>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</si>
  <si>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</si>
  <si>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</si>
  <si>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</si>
  <si>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</si>
  <si>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</si>
  <si>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</si>
  <si>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</si>
  <si>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</si>
  <si>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</si>
  <si>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</si>
  <si>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</si>
  <si>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</si>
  <si>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</si>
  <si>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</si>
  <si>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</si>
  <si>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</si>
  <si>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</si>
  <si>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</si>
  <si>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</si>
  <si>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</si>
  <si>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</si>
  <si>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</si>
  <si>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</si>
  <si>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</si>
  <si>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</si>
  <si>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</si>
  <si>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</si>
  <si>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</si>
  <si>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</si>
  <si>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</si>
  <si>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</si>
  <si>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</si>
  <si>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</si>
  <si>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</si>
  <si>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</si>
  <si>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</si>
  <si>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</si>
  <si>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</si>
  <si>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</si>
  <si>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</si>
  <si>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</si>
  <si>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</si>
  <si>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</si>
  <si>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</si>
  <si>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</si>
  <si>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</si>
  <si>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</si>
  <si>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</si>
  <si>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</si>
  <si>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</si>
  <si>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</si>
  <si>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</si>
  <si>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</si>
  <si>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</si>
  <si>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</si>
  <si>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</si>
  <si>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</si>
  <si>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</si>
  <si>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</si>
  <si>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</si>
  <si>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</si>
  <si>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</si>
  <si>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</si>
  <si>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</si>
  <si>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</si>
  <si>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</si>
  <si>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</si>
  <si>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</si>
  <si>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</si>
  <si>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</si>
  <si>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</si>
  <si>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</si>
  <si>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</si>
  <si>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</si>
  <si>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</si>
  <si>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</si>
  <si>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</si>
  <si>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</si>
  <si>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</si>
  <si>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</si>
  <si>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</si>
  <si>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</si>
  <si>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</si>
  <si>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</si>
  <si>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</si>
  <si>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</si>
  <si>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</si>
  <si>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</si>
  <si>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</si>
  <si>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</si>
  <si>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</si>
  <si>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</si>
  <si>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</si>
  <si>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</si>
  <si>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</si>
  <si>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</si>
  <si>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</si>
  <si>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</si>
  <si>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</si>
  <si>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</si>
  <si>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</si>
  <si>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</si>
  <si>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</si>
  <si>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</si>
  <si>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</si>
  <si>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</si>
  <si>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</si>
  <si>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</si>
  <si>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</si>
  <si>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</si>
  <si>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</si>
  <si>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</si>
  <si>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</si>
  <si>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</si>
  <si>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</si>
  <si>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</si>
  <si>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</si>
  <si>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</si>
  <si>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</si>
  <si>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</si>
  <si>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</si>
  <si>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</si>
  <si>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</si>
  <si>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</si>
  <si>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</si>
  <si>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</si>
  <si>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</si>
  <si>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</si>
  <si>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</si>
  <si>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</si>
  <si>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</si>
  <si>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</si>
  <si>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</si>
  <si>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</si>
  <si>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</si>
  <si>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</si>
  <si>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</si>
  <si>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</si>
  <si>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</si>
  <si>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</si>
  <si>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</si>
  <si>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</si>
  <si>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</si>
  <si>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</si>
  <si>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</si>
  <si>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</si>
  <si>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</si>
  <si>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</si>
  <si>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</si>
  <si>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</si>
  <si>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</si>
  <si>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</si>
  <si>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</si>
  <si>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</si>
  <si>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</si>
  <si>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</si>
  <si>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</si>
  <si>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</si>
  <si>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</si>
  <si>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</si>
  <si>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</si>
  <si>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</si>
  <si>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</si>
  <si>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</si>
  <si>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</si>
  <si>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</si>
  <si>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</si>
  <si>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</si>
  <si>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</si>
  <si>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</si>
  <si>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</si>
  <si>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</si>
  <si>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</si>
  <si>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</si>
  <si>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</si>
  <si>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</si>
  <si>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</si>
  <si>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</si>
  <si>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</si>
  <si>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</si>
  <si>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</si>
  <si>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</si>
  <si>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</si>
  <si>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</si>
  <si>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</si>
  <si>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</si>
  <si>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</si>
  <si>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</si>
  <si>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</si>
  <si>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</si>
  <si>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</si>
  <si>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</si>
  <si>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</si>
  <si>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</si>
  <si>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</si>
  <si>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</si>
  <si>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</si>
  <si>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</si>
  <si>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</si>
  <si>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</si>
  <si>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</si>
  <si>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</si>
  <si>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</si>
  <si>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</si>
  <si>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</si>
  <si>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</si>
  <si>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</si>
  <si>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</si>
  <si>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</si>
  <si>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</si>
  <si>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</si>
  <si>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</si>
  <si>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</si>
  <si>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</si>
  <si>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</si>
  <si>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</si>
  <si>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</si>
  <si>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</si>
  <si>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</si>
  <si>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</si>
  <si>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</si>
  <si>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</si>
  <si>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</si>
  <si>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</si>
  <si>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</si>
  <si>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</si>
  <si>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</si>
  <si>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</si>
  <si>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</si>
  <si>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</si>
  <si>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</si>
  <si>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</si>
  <si>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</si>
  <si>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</si>
  <si>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</si>
  <si>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</si>
  <si>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</si>
  <si>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</si>
  <si>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</si>
  <si>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</si>
  <si>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</si>
  <si>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</si>
  <si>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</si>
  <si>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</si>
  <si>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</si>
  <si>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</si>
  <si>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</si>
  <si>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</si>
  <si>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</si>
  <si>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</si>
  <si>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</si>
  <si>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</si>
  <si>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</si>
  <si>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</si>
  <si>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</si>
  <si>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</si>
  <si>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</si>
  <si>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</si>
  <si>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</si>
  <si>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</si>
  <si>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</si>
  <si>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</si>
  <si>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</si>
  <si>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</si>
  <si>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</si>
  <si>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</si>
  <si>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</si>
  <si>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</si>
  <si>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</si>
  <si>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</si>
  <si>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</si>
  <si>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</si>
  <si>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</si>
  <si>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</si>
  <si>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</si>
  <si>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</si>
  <si>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</si>
  <si>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</si>
  <si>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</si>
  <si>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</si>
  <si>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</si>
  <si>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</si>
  <si>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</si>
  <si>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</si>
  <si>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</si>
  <si>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</si>
  <si>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</si>
  <si>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</si>
  <si>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</si>
  <si>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</si>
  <si>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</si>
  <si>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</si>
  <si>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</si>
  <si>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</si>
  <si>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</si>
  <si>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</si>
  <si>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</si>
  <si>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</si>
  <si>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</si>
  <si>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</si>
  <si>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</si>
  <si>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</si>
  <si>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</si>
  <si>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</si>
  <si>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</si>
  <si>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</si>
  <si>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</si>
  <si>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</si>
  <si>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</si>
  <si>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</si>
  <si>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</si>
  <si>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</si>
  <si>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</si>
  <si>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</si>
  <si>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</si>
  <si>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</si>
  <si>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</si>
  <si>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</si>
  <si>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</si>
  <si>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</si>
  <si>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</si>
  <si>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</si>
  <si>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</si>
  <si>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</si>
  <si>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</si>
  <si>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</si>
  <si>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</si>
  <si>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</si>
  <si>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</si>
  <si>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</si>
  <si>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</si>
  <si>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</si>
  <si>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</si>
  <si>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</si>
  <si>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</si>
  <si>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</si>
  <si>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</si>
  <si>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</si>
  <si>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</si>
  <si>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</si>
  <si>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</si>
  <si>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</si>
  <si>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</si>
  <si>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</si>
  <si>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</si>
  <si>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</si>
  <si>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</si>
  <si>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</si>
  <si>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</si>
  <si>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</si>
  <si>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</si>
  <si>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</si>
  <si>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</si>
  <si>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</si>
  <si>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</si>
  <si>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</si>
  <si>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</si>
  <si>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</si>
  <si>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</si>
  <si>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</si>
  <si>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</si>
  <si>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</si>
  <si>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</si>
  <si>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</si>
  <si>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</si>
  <si>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</si>
  <si>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</si>
  <si>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</si>
  <si>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</si>
  <si>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</si>
  <si>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</si>
  <si>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</si>
  <si>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</si>
  <si>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</si>
  <si>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</si>
  <si>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</si>
  <si>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</si>
  <si>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</si>
  <si>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</si>
  <si>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</si>
  <si>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</si>
  <si>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</si>
  <si>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</si>
  <si>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</si>
  <si>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</si>
  <si>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</si>
  <si>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</si>
  <si>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</si>
  <si>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</si>
  <si>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</si>
  <si>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</si>
  <si>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</si>
  <si>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</si>
  <si>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</si>
  <si>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</si>
  <si>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</si>
  <si>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</si>
  <si>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</si>
  <si>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</si>
  <si>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</si>
  <si>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</si>
  <si>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</si>
  <si>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</si>
  <si>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</si>
  <si>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</si>
  <si>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</si>
  <si>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</si>
  <si>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</si>
  <si>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</si>
  <si>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</si>
  <si>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</si>
  <si>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</si>
  <si>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</si>
  <si>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</si>
  <si>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</si>
  <si>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</si>
  <si>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</si>
  <si>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</si>
  <si>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</si>
  <si>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</si>
  <si>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</si>
  <si>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</si>
  <si>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</si>
  <si>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</si>
  <si>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</si>
  <si>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</si>
  <si>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</si>
  <si>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</si>
  <si>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</si>
  <si>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</si>
  <si>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</si>
  <si>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</si>
  <si>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</si>
  <si>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</si>
  <si>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</si>
  <si>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</si>
  <si>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</si>
  <si>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</si>
  <si>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</si>
  <si>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</si>
  <si>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</si>
  <si>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</si>
  <si>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</si>
  <si>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</si>
  <si>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</si>
  <si>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</si>
  <si>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</si>
  <si>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</si>
  <si>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</si>
  <si>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</si>
  <si>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</si>
  <si>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</si>
  <si>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</si>
  <si>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</si>
  <si>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</si>
  <si>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</si>
  <si>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</si>
  <si>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</si>
  <si>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</si>
  <si>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</si>
  <si>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</si>
  <si>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</si>
  <si>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</si>
  <si>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</si>
  <si>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</si>
  <si>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</si>
  <si>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</si>
  <si>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</si>
  <si>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</si>
  <si>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</si>
  <si>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</si>
  <si>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</si>
  <si>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</si>
  <si>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</si>
  <si>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</si>
  <si>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</si>
  <si>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</si>
  <si>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</si>
  <si>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</si>
  <si>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</si>
  <si>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</si>
  <si>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</si>
  <si>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</si>
  <si>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</si>
  <si>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</si>
  <si>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</si>
  <si>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</si>
  <si>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</si>
  <si>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</si>
  <si>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</si>
  <si>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</si>
  <si>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</si>
  <si>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</si>
  <si>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</si>
  <si>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</si>
  <si>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</si>
  <si>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</si>
  <si>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</si>
  <si>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</si>
  <si>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</si>
  <si>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</si>
  <si>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</si>
  <si>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</si>
  <si>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</si>
  <si>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</si>
  <si>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</si>
  <si>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</si>
  <si>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</si>
  <si>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</si>
  <si>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</si>
  <si>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</si>
  <si>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</si>
  <si>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</si>
  <si>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</si>
  <si>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</si>
  <si>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</si>
  <si>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</si>
  <si>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</si>
  <si>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</si>
  <si>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</si>
  <si>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</si>
  <si>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</si>
  <si>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</si>
  <si>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</si>
  <si>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</si>
  <si>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</si>
  <si>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</si>
  <si>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</si>
  <si>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</si>
  <si>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</si>
  <si>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</si>
  <si>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</si>
  <si>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</si>
  <si>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</si>
  <si>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</si>
  <si>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</si>
  <si>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</si>
  <si>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</si>
  <si>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</si>
  <si>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</si>
  <si>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</si>
  <si>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</si>
  <si>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</si>
  <si>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</si>
  <si>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</si>
  <si>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</si>
  <si>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</si>
  <si>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</si>
  <si>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</si>
  <si>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</si>
  <si>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</si>
  <si>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</si>
  <si>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</si>
  <si>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</si>
  <si>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</si>
  <si>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</si>
  <si>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</si>
  <si>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</si>
  <si>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</si>
  <si>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</si>
  <si>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</si>
  <si>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</si>
  <si>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</si>
  <si>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</si>
  <si>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</si>
  <si>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</si>
  <si>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</si>
  <si>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</si>
  <si>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</si>
  <si>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</si>
  <si>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</si>
  <si>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</si>
  <si>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</si>
  <si>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</si>
  <si>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</si>
  <si>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</si>
  <si>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</si>
  <si>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</si>
  <si>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</si>
  <si>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</si>
  <si>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</si>
  <si>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</si>
  <si>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</si>
  <si>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</si>
  <si>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</si>
  <si>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</si>
  <si>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</si>
  <si>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</si>
  <si>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</si>
  <si>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</si>
  <si>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</si>
  <si>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</si>
  <si>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</si>
  <si>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</si>
  <si>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</si>
  <si>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</si>
  <si>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</si>
  <si>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</si>
  <si>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</si>
  <si>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</si>
  <si>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</si>
  <si>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</si>
  <si>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</si>
  <si>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</si>
  <si>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</si>
  <si>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</si>
  <si>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</si>
  <si>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</si>
  <si>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</si>
  <si>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</si>
  <si>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</si>
  <si>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</si>
  <si>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</si>
  <si>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</si>
  <si>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</si>
  <si>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</si>
  <si>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</si>
  <si>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</si>
  <si>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</si>
  <si>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</si>
  <si>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</si>
  <si>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</si>
  <si>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</si>
  <si>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</si>
  <si>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</si>
  <si>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</si>
  <si>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</si>
  <si>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</si>
  <si>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</si>
  <si>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</si>
  <si>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</si>
  <si>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</si>
  <si>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</si>
  <si>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</si>
  <si>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</si>
  <si>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</si>
  <si>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</si>
  <si>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</si>
  <si>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</si>
  <si>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</si>
  <si>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</si>
  <si>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</si>
  <si>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</si>
  <si>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</si>
  <si>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</si>
  <si>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</si>
  <si>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</si>
  <si>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</si>
  <si>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</si>
  <si>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</si>
  <si>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</si>
  <si>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</si>
  <si>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</si>
  <si>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</si>
  <si>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</si>
  <si>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</si>
  <si>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</si>
  <si>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</si>
  <si>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</si>
  <si>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</si>
  <si>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</si>
  <si>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</si>
  <si>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</si>
  <si>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</si>
  <si>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</si>
  <si>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</si>
  <si>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</si>
  <si>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</si>
  <si>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</si>
  <si>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</si>
  <si>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</si>
  <si>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</si>
  <si>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</si>
  <si>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</si>
  <si>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</si>
  <si>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</si>
  <si>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</si>
  <si>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</si>
  <si>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</si>
  <si>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</si>
  <si>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</si>
  <si>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</si>
  <si>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</si>
  <si>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</si>
  <si>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</si>
  <si>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</si>
  <si>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</si>
  <si>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</si>
  <si>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</si>
  <si>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</si>
  <si>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</si>
  <si>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</si>
  <si>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</si>
  <si>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</si>
  <si>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</si>
  <si>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</si>
  <si>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</si>
  <si>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</si>
  <si>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</si>
  <si>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</si>
  <si>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</si>
  <si>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</si>
  <si>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</si>
  <si>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</si>
  <si>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</si>
  <si>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</si>
  <si>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</si>
  <si>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</si>
  <si>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</si>
  <si>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</si>
  <si>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</si>
  <si>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</si>
  <si>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</si>
  <si>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</si>
  <si>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</si>
  <si>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</si>
  <si>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</si>
  <si>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</si>
  <si>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</si>
  <si>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</si>
  <si>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</si>
  <si>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</si>
  <si>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</si>
  <si>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</si>
  <si>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</si>
  <si>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</si>
  <si>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</si>
  <si>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</si>
  <si>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</si>
  <si>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</si>
  <si>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</si>
  <si>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</si>
  <si>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</si>
  <si>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</si>
  <si>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</si>
  <si>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</si>
  <si>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</si>
  <si>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</si>
  <si>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</si>
  <si>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</si>
  <si>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</si>
  <si>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</si>
  <si>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</si>
  <si>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</si>
  <si>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</si>
  <si>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</si>
  <si>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</si>
  <si>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</si>
  <si>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</si>
  <si>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</si>
  <si>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</si>
  <si>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</si>
  <si>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</si>
  <si>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</si>
  <si>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</si>
  <si>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</si>
  <si>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</si>
  <si>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</si>
  <si>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</si>
  <si>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</si>
  <si>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</si>
  <si>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</si>
  <si>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</si>
  <si>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</si>
  <si>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</si>
  <si>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</si>
  <si>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</si>
  <si>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</si>
  <si>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</si>
  <si>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</si>
  <si>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</si>
  <si>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</si>
  <si>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</si>
  <si>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</si>
  <si>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</si>
  <si>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</si>
  <si>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</si>
  <si>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</si>
  <si>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</si>
  <si>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</si>
  <si>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</si>
  <si>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</si>
  <si>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</si>
  <si>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</si>
  <si>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</si>
  <si>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</si>
  <si>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</si>
  <si>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</si>
  <si>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</si>
  <si>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</si>
  <si>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</si>
  <si>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</si>
  <si>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</si>
  <si>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</si>
  <si>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</si>
  <si>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</si>
  <si>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</si>
  <si>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</si>
  <si>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</si>
  <si>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</si>
  <si>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</si>
  <si>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</si>
  <si>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</si>
  <si>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</si>
  <si>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</si>
  <si>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</si>
  <si>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</si>
  <si>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</si>
  <si>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</si>
  <si>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</si>
  <si>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</si>
  <si>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</si>
  <si>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</si>
  <si>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</si>
  <si>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</si>
  <si>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</si>
  <si>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</si>
  <si>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</si>
  <si>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</si>
  <si>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</si>
  <si>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</si>
  <si>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</si>
  <si>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</si>
  <si>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</si>
  <si>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</si>
  <si>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</si>
  <si>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</si>
  <si>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</si>
  <si>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</si>
  <si>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</si>
  <si>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</si>
  <si>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</si>
  <si>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</si>
  <si>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</si>
  <si>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</si>
  <si>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</si>
  <si>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</si>
  <si>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</si>
  <si>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</si>
  <si>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</si>
  <si>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</si>
  <si>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</si>
  <si>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</si>
  <si>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</si>
  <si>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</si>
  <si>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</si>
  <si>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</si>
  <si>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</si>
  <si>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</si>
  <si>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</si>
  <si>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</si>
  <si>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</si>
  <si>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</si>
  <si>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</si>
  <si>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</si>
  <si>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</si>
  <si>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</si>
  <si>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</si>
  <si>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</si>
  <si>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</si>
  <si>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</si>
  <si>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</si>
  <si>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</si>
  <si>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</si>
  <si>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</si>
  <si>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</si>
  <si>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</si>
  <si>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</si>
  <si>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</si>
  <si>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</si>
  <si>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</si>
  <si>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</si>
  <si>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</si>
  <si>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</si>
  <si>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</si>
  <si>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</si>
  <si>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</si>
  <si>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</si>
  <si>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</si>
  <si>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</si>
  <si>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</si>
  <si>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</si>
  <si>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</si>
  <si>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</si>
  <si>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</si>
  <si>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</si>
  <si>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</si>
  <si>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</si>
  <si>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</si>
  <si>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</si>
  <si>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</si>
  <si>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</si>
  <si>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</si>
  <si>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</si>
  <si>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</si>
  <si>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</si>
  <si>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</si>
  <si>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</si>
  <si>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</si>
  <si>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</si>
  <si>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</si>
  <si>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</si>
  <si>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</si>
  <si>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</si>
  <si>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</si>
  <si>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</si>
  <si>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</si>
  <si>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</si>
  <si>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</si>
  <si>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</si>
  <si>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</si>
  <si>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</si>
  <si>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</si>
  <si>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</si>
  <si>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</si>
  <si>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</si>
  <si>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</si>
  <si>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</si>
  <si>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</si>
  <si>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</si>
  <si>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</si>
  <si>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</si>
  <si>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</si>
  <si>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</si>
  <si>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</si>
  <si>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</si>
  <si>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</si>
  <si>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</si>
  <si>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</si>
  <si>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</si>
  <si>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</si>
  <si>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</si>
  <si>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</si>
  <si>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</si>
  <si>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</si>
  <si>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</si>
  <si>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</si>
  <si>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</si>
  <si>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</si>
  <si>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</si>
  <si>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</si>
  <si>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</si>
  <si>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</si>
  <si>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</si>
  <si>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</si>
  <si>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</si>
  <si>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</si>
  <si>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</si>
  <si>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</si>
  <si>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</si>
  <si>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</si>
  <si>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</si>
  <si>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</si>
  <si>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</si>
  <si>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</si>
  <si>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</si>
  <si>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</si>
  <si>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</si>
  <si>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</si>
  <si>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</si>
  <si>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</si>
  <si>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</si>
  <si>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</si>
  <si>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</si>
  <si>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</si>
  <si>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</si>
  <si>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</si>
  <si>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</si>
  <si>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</si>
  <si>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</si>
  <si>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</si>
  <si>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</si>
  <si>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</si>
  <si>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</si>
  <si>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</si>
  <si>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</si>
  <si>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</si>
  <si>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</si>
  <si>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</si>
  <si>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</si>
  <si>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</si>
  <si>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</si>
  <si>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</si>
  <si>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</si>
  <si>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</si>
  <si>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</si>
  <si>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</si>
  <si>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</si>
  <si>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</si>
  <si>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</si>
  <si>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</si>
  <si>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</si>
  <si>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</si>
  <si>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</si>
  <si>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</si>
  <si>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</si>
  <si>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</si>
  <si>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</si>
  <si>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</si>
  <si>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</si>
  <si>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</si>
  <si>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</si>
  <si>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</si>
  <si>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</si>
  <si>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</si>
  <si>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</si>
  <si>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</si>
  <si>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</si>
  <si>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</si>
  <si>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</si>
  <si>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</si>
  <si>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</si>
  <si>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</si>
  <si>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</si>
  <si>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</si>
  <si>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</si>
  <si>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</si>
  <si>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</si>
  <si>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</si>
  <si>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</si>
  <si>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</si>
  <si>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</si>
  <si>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</si>
  <si>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</si>
  <si>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</si>
  <si>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</si>
  <si>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</si>
  <si>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</si>
  <si>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</si>
  <si>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</si>
  <si>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</si>
  <si>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</si>
  <si>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</si>
  <si>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</si>
  <si>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</si>
  <si>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</si>
  <si>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</si>
  <si>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</si>
  <si>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</si>
  <si>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</si>
  <si>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</si>
  <si>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</si>
  <si>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</si>
  <si>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</si>
  <si>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</si>
  <si>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</si>
  <si>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</si>
  <si>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</si>
  <si>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</si>
  <si>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</si>
  <si>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</si>
  <si>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</si>
  <si>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</si>
  <si>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</si>
  <si>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</si>
  <si>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</si>
  <si>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</si>
  <si>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</si>
  <si>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</si>
  <si>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</si>
  <si>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</si>
  <si>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</si>
  <si>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</si>
  <si>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</si>
  <si>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</si>
  <si>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</si>
  <si>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</si>
  <si>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</si>
  <si>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</si>
  <si>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</si>
  <si>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</si>
  <si>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</si>
  <si>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</si>
  <si>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</si>
  <si>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</si>
  <si>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</si>
  <si>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</si>
  <si>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</si>
  <si>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</si>
  <si>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</si>
  <si>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</si>
  <si>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</si>
  <si>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</si>
  <si>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</si>
  <si>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</si>
  <si>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</si>
  <si>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</si>
  <si>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</si>
  <si>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</si>
  <si>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</si>
  <si>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</si>
  <si>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</si>
  <si>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</si>
  <si>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</si>
  <si>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</si>
  <si>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</si>
  <si>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</si>
  <si>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</si>
  <si>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</si>
  <si>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</si>
  <si>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</si>
  <si>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</si>
  <si>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</si>
  <si>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</si>
  <si>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</si>
  <si>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</si>
  <si>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</si>
  <si>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</si>
  <si>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</si>
  <si>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</si>
  <si>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</si>
  <si>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</si>
  <si>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</si>
  <si>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</si>
  <si>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</si>
  <si>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</si>
  <si>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</si>
  <si>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</si>
  <si>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</si>
  <si>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</si>
  <si>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</si>
  <si>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</si>
  <si>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</si>
  <si>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</si>
  <si>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</si>
  <si>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</si>
  <si>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</si>
  <si>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</si>
  <si>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</si>
  <si>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</si>
  <si>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</si>
  <si>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</si>
  <si>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</si>
  <si>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</si>
  <si>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</si>
  <si>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</si>
  <si>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</si>
  <si>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</si>
  <si>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</si>
  <si>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</si>
  <si>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</si>
  <si>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</si>
  <si>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</si>
  <si>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</si>
  <si>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</si>
  <si>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</si>
  <si>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</si>
  <si>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</si>
  <si>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</si>
  <si>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</si>
  <si>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</si>
  <si>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</si>
  <si>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</si>
  <si>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</si>
  <si>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</si>
  <si>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</si>
  <si>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</si>
  <si>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</si>
  <si>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</si>
  <si>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</si>
  <si>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</si>
  <si>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</si>
  <si>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</si>
  <si>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</si>
  <si>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</si>
  <si>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</si>
  <si>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</si>
  <si>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</si>
  <si>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</si>
  <si>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</si>
  <si>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</si>
  <si>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</si>
  <si>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</si>
  <si>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</si>
  <si>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</si>
  <si>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</si>
  <si>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</si>
  <si>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</si>
  <si>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</si>
  <si>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</si>
  <si>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</si>
  <si>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</si>
  <si>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</si>
  <si>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</si>
  <si>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</si>
  <si>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</si>
  <si>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</si>
  <si>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</si>
  <si>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</si>
  <si>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</si>
  <si>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</si>
  <si>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</si>
  <si>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</si>
  <si>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</si>
  <si>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</si>
  <si>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</si>
  <si>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</si>
  <si>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</si>
  <si>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</si>
  <si>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</si>
  <si>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</si>
  <si>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</si>
  <si>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</si>
  <si>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</si>
  <si>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</si>
  <si>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</si>
  <si>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</si>
  <si>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</si>
  <si>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</si>
  <si>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</si>
  <si>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</si>
  <si>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</si>
  <si>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</si>
  <si>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</si>
  <si>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</si>
  <si>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</si>
  <si>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</si>
  <si>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</si>
  <si>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</si>
  <si>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</si>
  <si>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</si>
  <si>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</si>
  <si>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</si>
  <si>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</si>
  <si>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</si>
  <si>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</si>
  <si>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</si>
  <si>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</si>
  <si>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</si>
  <si>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</si>
  <si>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</si>
  <si>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</si>
  <si>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</si>
  <si>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</si>
  <si>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</si>
  <si>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</si>
  <si>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</si>
  <si>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</si>
  <si>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</si>
  <si>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</si>
  <si>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</si>
  <si>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</si>
  <si>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</si>
  <si>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</si>
  <si>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</si>
  <si>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</si>
  <si>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</si>
  <si>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</si>
  <si>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</si>
  <si>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</si>
  <si>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</si>
  <si>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</si>
  <si>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</si>
  <si>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</si>
  <si>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</si>
  <si>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</si>
  <si>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</si>
  <si>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</si>
  <si>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</si>
  <si>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</si>
  <si>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</si>
  <si>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</si>
  <si>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</si>
  <si>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</si>
  <si>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</si>
  <si>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</si>
  <si>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</si>
  <si>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</si>
  <si>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</si>
  <si>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</si>
  <si>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</si>
  <si>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</si>
  <si>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</si>
  <si>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</si>
  <si>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</si>
  <si>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</si>
  <si>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</si>
  <si>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</si>
  <si>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</si>
  <si>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</si>
  <si>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</si>
  <si>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</si>
  <si>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</si>
  <si>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</si>
  <si>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</si>
  <si>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</si>
  <si>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</si>
  <si>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</si>
  <si>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</si>
  <si>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</si>
  <si>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</si>
  <si>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</si>
  <si>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</si>
  <si>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</si>
  <si>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</si>
  <si>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</si>
  <si>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</si>
  <si>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</si>
  <si>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</si>
  <si>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</si>
  <si>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</si>
  <si>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</si>
  <si>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</si>
  <si>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</si>
  <si>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</si>
  <si>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</si>
  <si>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</si>
  <si>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</si>
  <si>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</si>
  <si>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</si>
  <si>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</si>
  <si>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</si>
  <si>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</si>
  <si>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</si>
  <si>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</si>
  <si>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</si>
  <si>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</si>
  <si>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</si>
  <si>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</si>
  <si>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</si>
  <si>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</si>
  <si>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</si>
  <si>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</si>
  <si>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</si>
  <si>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</si>
  <si>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</si>
  <si>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</si>
  <si>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</si>
  <si>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</si>
  <si>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</si>
  <si>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</si>
  <si>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</si>
  <si>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</si>
  <si>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</si>
  <si>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</si>
  <si>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</si>
  <si>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</si>
  <si>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</si>
  <si>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</si>
  <si>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</si>
  <si>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</si>
  <si>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</si>
  <si>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</si>
  <si>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</si>
  <si>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</si>
  <si>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</si>
  <si>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</si>
  <si>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</si>
  <si>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</si>
  <si>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</si>
  <si>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</si>
  <si>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</si>
  <si>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</si>
  <si>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</si>
  <si>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</si>
  <si>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</si>
  <si>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</si>
  <si>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</si>
  <si>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</si>
  <si>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</si>
  <si>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</si>
  <si>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</si>
  <si>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</si>
  <si>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</si>
  <si>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</si>
  <si>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</si>
  <si>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</si>
  <si>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</si>
  <si>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</si>
  <si>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</si>
  <si>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</si>
  <si>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</si>
  <si>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</si>
  <si>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</si>
  <si>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</si>
  <si>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</si>
  <si>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</si>
  <si>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</si>
  <si>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</si>
  <si>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</si>
  <si>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</si>
  <si>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</si>
  <si>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</si>
  <si>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</si>
  <si>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</si>
  <si>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</si>
  <si>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</si>
  <si>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</si>
  <si>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</si>
  <si>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</si>
  <si>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</si>
  <si>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</si>
  <si>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</si>
  <si>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</si>
  <si>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</si>
  <si>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</si>
  <si>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</si>
  <si>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</si>
  <si>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</si>
  <si>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</si>
  <si>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</si>
  <si>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</si>
  <si>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</si>
  <si>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</si>
  <si>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</si>
  <si>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</si>
  <si>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</si>
  <si>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</si>
  <si>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</si>
  <si>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</si>
  <si>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</si>
  <si>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</si>
  <si>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</si>
  <si>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</si>
  <si>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</si>
  <si>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</si>
  <si>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</si>
  <si>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</si>
  <si>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</si>
  <si>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</si>
  <si>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</si>
  <si>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</si>
  <si>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</si>
  <si>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</si>
  <si>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</si>
  <si>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</si>
  <si>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</si>
  <si>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</si>
  <si>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</si>
  <si>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</si>
  <si>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</si>
  <si>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</si>
  <si>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</si>
  <si>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</si>
  <si>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</si>
  <si>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</si>
  <si>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</si>
  <si>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</si>
  <si>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</si>
  <si>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</si>
  <si>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</si>
  <si>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</si>
  <si>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</si>
  <si>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</si>
  <si>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</si>
  <si>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</si>
  <si>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</si>
  <si>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</si>
  <si>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</si>
  <si>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</si>
  <si>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</si>
  <si>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</si>
  <si>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</si>
  <si>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</si>
  <si>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</si>
  <si>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</si>
  <si>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</si>
  <si>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</si>
  <si>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</si>
  <si>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</si>
  <si>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</si>
  <si>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</si>
  <si>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</si>
  <si>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</si>
  <si>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</si>
  <si>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</si>
  <si>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</si>
  <si>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</si>
  <si>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</si>
  <si>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</si>
  <si>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</si>
  <si>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</si>
  <si>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</si>
  <si>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</si>
  <si>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</si>
  <si>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</si>
  <si>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</si>
  <si>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</si>
  <si>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</si>
  <si>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</si>
  <si>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</si>
  <si>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</si>
  <si>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</si>
  <si>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</si>
  <si>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</si>
  <si>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</si>
  <si>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</si>
  <si>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</si>
  <si>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</si>
  <si>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</si>
  <si>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</si>
  <si>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</si>
  <si>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</si>
  <si>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</si>
  <si>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</si>
  <si>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</si>
  <si>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</si>
  <si>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</si>
  <si>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</si>
  <si>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</si>
  <si>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</si>
  <si>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</si>
  <si>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</si>
  <si>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</si>
  <si>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</si>
  <si>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</si>
  <si>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</si>
  <si>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</si>
  <si>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</si>
  <si>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</si>
  <si>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</si>
  <si>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</si>
  <si>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</si>
  <si>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</si>
  <si>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</si>
  <si>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</si>
  <si>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</si>
  <si>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</si>
  <si>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</si>
  <si>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</si>
  <si>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</si>
  <si>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</si>
  <si>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</si>
  <si>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</si>
  <si>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</si>
  <si>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</si>
  <si>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</si>
  <si>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</si>
  <si>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</si>
  <si>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</si>
  <si>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</si>
  <si>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</si>
  <si>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</si>
  <si>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</si>
  <si>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</si>
  <si>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</si>
  <si>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</si>
  <si>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</si>
  <si>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</si>
  <si>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</si>
  <si>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</si>
  <si>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</si>
  <si>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</si>
  <si>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</si>
  <si>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</si>
  <si>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</si>
  <si>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</si>
  <si>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</si>
  <si>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</si>
  <si>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</si>
  <si>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</si>
  <si>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</si>
  <si>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</si>
  <si>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</si>
  <si>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</si>
  <si>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</si>
  <si>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</si>
  <si>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</si>
  <si>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</si>
  <si>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</si>
  <si>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</si>
  <si>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</si>
  <si>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</si>
  <si>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</si>
  <si>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</si>
  <si>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</si>
  <si>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</si>
  <si>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</si>
  <si>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</si>
  <si>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</si>
  <si>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</si>
  <si>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</si>
  <si>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</si>
  <si>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</si>
  <si>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</si>
  <si>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</si>
  <si>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</si>
  <si>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</si>
  <si>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</si>
  <si>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</si>
  <si>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</si>
  <si>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</si>
  <si>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</si>
  <si>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</si>
  <si>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</si>
  <si>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</si>
  <si>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</si>
  <si>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</si>
  <si>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</si>
  <si>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</si>
  <si>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</si>
  <si>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</si>
  <si>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</si>
  <si>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</si>
  <si>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</si>
  <si>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</si>
  <si>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</si>
  <si>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</si>
  <si>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</si>
  <si>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</si>
  <si>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</si>
  <si>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</si>
  <si>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</si>
  <si>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</si>
  <si>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</si>
  <si>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</si>
  <si>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</si>
  <si>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</si>
  <si>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</si>
  <si>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</si>
  <si>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</si>
  <si>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</si>
  <si>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</si>
  <si>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</si>
  <si>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</si>
  <si>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</si>
  <si>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</si>
  <si>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</si>
  <si>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</si>
  <si>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</si>
  <si>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</si>
  <si>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</si>
  <si>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</si>
  <si>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</si>
  <si>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</si>
  <si>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</si>
  <si>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</si>
  <si>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</si>
  <si>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</si>
  <si>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</si>
  <si>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</si>
  <si>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</si>
  <si>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</si>
  <si>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</si>
  <si>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</si>
  <si>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</si>
  <si>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</si>
  <si>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</si>
  <si>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</si>
  <si>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</si>
  <si>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</si>
  <si>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</si>
  <si>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</si>
  <si>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</si>
  <si>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</si>
  <si>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</si>
  <si>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</si>
  <si>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</si>
  <si>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</si>
  <si>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</si>
  <si>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</si>
  <si>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</si>
  <si>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</si>
  <si>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</si>
  <si>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</si>
  <si>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</si>
  <si>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</si>
  <si>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</si>
  <si>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</si>
  <si>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</si>
  <si>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</si>
  <si>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</si>
  <si>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</si>
  <si>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</si>
  <si>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</si>
  <si>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</si>
  <si>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</si>
  <si>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</si>
  <si>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</si>
  <si>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</si>
  <si>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</si>
  <si>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</si>
  <si>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</si>
  <si>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</si>
  <si>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</si>
  <si>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</si>
  <si>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</si>
  <si>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</si>
  <si>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</si>
  <si>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</si>
  <si>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</si>
  <si>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</si>
  <si>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</si>
  <si>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</si>
  <si>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</si>
  <si>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</si>
  <si>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</si>
  <si>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</si>
  <si>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</si>
  <si>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</si>
  <si>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</si>
  <si>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</si>
  <si>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</si>
  <si>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</si>
  <si>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</si>
  <si>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</si>
  <si>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</si>
  <si>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</si>
  <si>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</si>
  <si>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</si>
  <si>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</si>
  <si>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</si>
  <si>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</si>
  <si>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</si>
  <si>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</si>
  <si>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</si>
  <si>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</si>
  <si>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</si>
  <si>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</si>
  <si>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</si>
  <si>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</si>
  <si>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</si>
  <si>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</si>
  <si>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</si>
  <si>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</si>
  <si>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</si>
  <si>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</si>
  <si>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</si>
  <si>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</si>
  <si>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</si>
  <si>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</si>
  <si>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</si>
  <si>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</si>
  <si>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</si>
  <si>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</si>
  <si>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</si>
  <si>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</si>
  <si>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</si>
  <si>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</si>
  <si>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</si>
  <si>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</si>
  <si>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</si>
  <si>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</si>
  <si>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</si>
  <si>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</si>
  <si>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</si>
  <si>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</si>
  <si>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</si>
  <si>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</si>
  <si>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</si>
  <si>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</si>
  <si>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</si>
  <si>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</si>
  <si>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</si>
  <si>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</si>
  <si>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</si>
  <si>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</si>
  <si>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</si>
  <si>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</si>
  <si>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</si>
  <si>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</si>
  <si>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</si>
  <si>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</si>
  <si>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</si>
  <si>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</si>
  <si>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</si>
  <si>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</si>
  <si>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</si>
  <si>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</si>
  <si>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</si>
  <si>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</si>
  <si>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</si>
  <si>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</si>
  <si>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</si>
  <si>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</si>
  <si>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</si>
  <si>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</si>
  <si>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</si>
  <si>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</si>
  <si>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</si>
  <si>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</si>
  <si>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</si>
  <si>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</si>
  <si>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</si>
  <si>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</si>
  <si>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</si>
  <si>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</si>
  <si>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</si>
  <si>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</si>
  <si>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</si>
  <si>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</si>
  <si>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</si>
  <si>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</si>
  <si>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</si>
  <si>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</si>
  <si>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</si>
  <si>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</si>
  <si>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</si>
  <si>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</si>
  <si>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</si>
  <si>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</si>
  <si>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</si>
  <si>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</si>
  <si>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</si>
  <si>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</si>
  <si>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</si>
  <si>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</si>
  <si>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</si>
  <si>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</si>
  <si>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</si>
  <si>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</si>
  <si>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</si>
  <si>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</si>
  <si>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</si>
  <si>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</si>
  <si>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</si>
  <si>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</si>
  <si>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</si>
  <si>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</si>
  <si>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</si>
  <si>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</si>
  <si>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</si>
  <si>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</si>
  <si>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</si>
  <si>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</si>
  <si>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</si>
  <si>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</si>
  <si>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</si>
  <si>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</si>
  <si>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</si>
  <si>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</si>
  <si>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</si>
  <si>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</si>
  <si>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</si>
  <si>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</si>
  <si>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</si>
  <si>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</si>
  <si>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</si>
  <si>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</si>
  <si>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</si>
  <si>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</si>
  <si>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</si>
  <si>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</si>
  <si>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</si>
  <si>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</si>
  <si>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</si>
  <si>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</si>
  <si>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</si>
  <si>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</si>
  <si>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</si>
  <si>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</si>
  <si>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</si>
  <si>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</si>
  <si>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</si>
  <si>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</si>
  <si>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</si>
  <si>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</si>
  <si>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</si>
  <si>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</si>
  <si>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</si>
  <si>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</si>
  <si>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</si>
  <si>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</si>
  <si>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</si>
  <si>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</si>
  <si>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</si>
  <si>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</si>
  <si>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</si>
  <si>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</si>
  <si>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</si>
  <si>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</si>
  <si>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</si>
  <si>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</si>
  <si>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</si>
  <si>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</si>
  <si>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</si>
  <si>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</si>
  <si>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</si>
  <si>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</si>
  <si>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</si>
  <si>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</si>
  <si>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</si>
  <si>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</si>
  <si>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</si>
  <si>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</si>
  <si>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</si>
  <si>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</si>
  <si>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</si>
  <si>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</si>
  <si>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</si>
  <si>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</si>
  <si>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</si>
  <si>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</si>
  <si>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</si>
  <si>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</si>
  <si>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</si>
  <si>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</si>
  <si>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</si>
  <si>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</si>
  <si>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</si>
  <si>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</si>
  <si>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</si>
  <si>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</si>
  <si>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</si>
  <si>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</si>
  <si>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</si>
  <si>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</si>
  <si>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</si>
  <si>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</si>
  <si>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</si>
  <si>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</si>
  <si>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</si>
  <si>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</si>
  <si>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</si>
  <si>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</si>
  <si>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</si>
  <si>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</si>
  <si>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</si>
  <si>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</si>
  <si>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</si>
  <si>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</si>
  <si>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</si>
  <si>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</si>
  <si>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</si>
  <si>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</si>
  <si>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</si>
  <si>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</si>
  <si>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</si>
  <si>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</si>
  <si>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</si>
  <si>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</si>
  <si>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</si>
  <si>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</si>
  <si>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</si>
  <si>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</si>
  <si>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</si>
  <si>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</si>
  <si>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</si>
  <si>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</si>
  <si>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</si>
  <si>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</si>
  <si>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</si>
  <si>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</si>
  <si>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</si>
  <si>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</si>
  <si>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</si>
  <si>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</si>
  <si>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</si>
  <si>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</si>
  <si>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</si>
  <si>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</si>
  <si>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</si>
  <si>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</si>
  <si>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</si>
  <si>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</si>
  <si>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</si>
  <si>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</si>
  <si>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</si>
  <si>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</si>
  <si>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</si>
  <si>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</si>
  <si>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</si>
  <si>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</si>
  <si>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</si>
  <si>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</si>
  <si>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</si>
  <si>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</si>
  <si>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</si>
  <si>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</si>
  <si>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</si>
  <si>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</si>
  <si>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</si>
  <si>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</si>
  <si>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</si>
  <si>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</si>
  <si>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</si>
  <si>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</si>
  <si>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</si>
  <si>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</si>
  <si>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</si>
  <si>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</si>
  <si>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</si>
  <si>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</si>
  <si>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</si>
  <si>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</si>
  <si>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</si>
  <si>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</si>
  <si>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</si>
  <si>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</si>
  <si>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</si>
  <si>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</si>
  <si>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</si>
  <si>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</si>
  <si>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</si>
  <si>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</si>
  <si>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</si>
  <si>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</si>
  <si>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</si>
  <si>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</si>
  <si>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</si>
  <si>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</si>
  <si>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</si>
  <si>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</si>
  <si>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</si>
  <si>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</si>
  <si>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</si>
  <si>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</si>
  <si>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</si>
  <si>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</si>
  <si>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</si>
  <si>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</si>
  <si>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</si>
  <si>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</si>
  <si>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</si>
  <si>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</si>
  <si>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</si>
  <si>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</si>
  <si>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</si>
  <si>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</si>
  <si>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</si>
  <si>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</si>
  <si>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</si>
  <si>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</si>
  <si>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</si>
  <si>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</si>
  <si>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</si>
  <si>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</si>
  <si>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</si>
  <si>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</si>
  <si>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</si>
  <si>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</si>
  <si>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</si>
  <si>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</si>
  <si>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</si>
  <si>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</si>
  <si>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</si>
  <si>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</si>
  <si>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</si>
  <si>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</si>
  <si>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</si>
  <si>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</si>
  <si>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</si>
  <si>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</si>
  <si>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</si>
  <si>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</si>
  <si>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</si>
  <si>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</si>
  <si>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</si>
  <si>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</si>
  <si>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</si>
  <si>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</si>
  <si>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</si>
  <si>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</si>
  <si>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</si>
  <si>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</si>
  <si>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</si>
  <si>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</si>
  <si>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</si>
  <si>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</si>
  <si>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</si>
  <si>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</si>
  <si>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</si>
  <si>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</si>
  <si>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</si>
  <si>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</si>
  <si>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</si>
  <si>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</si>
  <si>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</si>
  <si>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</si>
  <si>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</si>
  <si>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</si>
  <si>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</si>
  <si>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</si>
  <si>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</si>
  <si>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</si>
  <si>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</si>
  <si>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</si>
  <si>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</si>
  <si>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</si>
  <si>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</si>
  <si>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</si>
  <si>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</si>
  <si>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</si>
  <si>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</si>
  <si>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</si>
  <si>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</si>
  <si>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</si>
  <si>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</si>
  <si>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</si>
  <si>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</si>
  <si>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</si>
  <si>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</si>
  <si>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</si>
  <si>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</si>
  <si>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</si>
  <si>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</si>
  <si>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</si>
  <si>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</si>
  <si>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</si>
  <si>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</si>
  <si>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</si>
  <si>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</si>
  <si>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</si>
  <si>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</si>
  <si>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</si>
  <si>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</si>
  <si>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</si>
  <si>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</si>
  <si>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</si>
  <si>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</si>
  <si>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</si>
  <si>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</si>
  <si>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</si>
  <si>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</si>
  <si>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</si>
  <si>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</si>
  <si>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</si>
  <si>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</si>
  <si>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</si>
  <si>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</si>
  <si>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</si>
  <si>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</si>
  <si>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</si>
  <si>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</si>
  <si>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</si>
  <si>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</si>
  <si>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</si>
  <si>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</si>
  <si>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</si>
  <si>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</si>
  <si>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</si>
  <si>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</si>
  <si>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</si>
  <si>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</si>
  <si>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</si>
  <si>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</si>
  <si>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</si>
  <si>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</si>
  <si>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</si>
  <si>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</si>
  <si>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</si>
  <si>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</si>
  <si>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</si>
  <si>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</si>
  <si>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</si>
  <si>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</si>
  <si>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</si>
  <si>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</si>
  <si>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</si>
  <si>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</si>
  <si>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</si>
  <si>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</si>
  <si>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</si>
  <si>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</si>
  <si>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</si>
  <si>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</si>
  <si>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</si>
  <si>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</si>
  <si>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</si>
  <si>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</si>
  <si>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</si>
  <si>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</si>
  <si>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</si>
  <si>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</si>
  <si>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</si>
  <si>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</si>
  <si>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</si>
  <si>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</si>
  <si>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</si>
  <si>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</si>
  <si>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</si>
  <si>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</si>
  <si>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</si>
  <si>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</si>
  <si>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</si>
  <si>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</si>
  <si>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</si>
  <si>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</si>
  <si>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</si>
  <si>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</si>
  <si>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</si>
  <si>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</si>
  <si>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</si>
  <si>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</si>
  <si>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</si>
  <si>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</si>
  <si>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</si>
  <si>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</si>
  <si>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</si>
  <si>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</si>
  <si>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</si>
  <si>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</si>
  <si>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</si>
  <si>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</si>
  <si>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</si>
  <si>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</si>
  <si>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</si>
  <si>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</si>
  <si>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</si>
  <si>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</si>
  <si>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</si>
  <si>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</si>
  <si>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</si>
  <si>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</si>
  <si>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</si>
  <si>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</si>
  <si>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</si>
  <si>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</si>
  <si>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</si>
  <si>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</si>
  <si>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</si>
  <si>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</si>
  <si>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</si>
  <si>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</si>
  <si>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</si>
  <si>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</si>
  <si>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</si>
  <si>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</si>
  <si>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</si>
  <si>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</si>
  <si>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</si>
  <si>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</si>
  <si>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</si>
  <si>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</si>
  <si>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</si>
  <si>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</si>
  <si>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</si>
  <si>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</si>
  <si>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</si>
  <si>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</si>
  <si>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</si>
  <si>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</si>
  <si>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</si>
  <si>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</si>
  <si>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</si>
  <si>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</si>
  <si>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</si>
  <si>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</si>
  <si>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</si>
  <si>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</si>
  <si>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</si>
  <si>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</si>
  <si>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</si>
  <si>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</si>
  <si>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</si>
  <si>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</si>
  <si>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</si>
  <si>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</si>
  <si>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</si>
  <si>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</si>
  <si>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</si>
  <si>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</si>
  <si>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</si>
  <si>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</si>
  <si>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</si>
  <si>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</si>
  <si>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</si>
  <si>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</si>
  <si>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</si>
  <si>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</si>
  <si>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</si>
  <si>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</si>
  <si>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</si>
  <si>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</si>
  <si>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</si>
  <si>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</si>
  <si>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</si>
  <si>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</si>
  <si>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</si>
  <si>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</si>
  <si>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</si>
  <si>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</si>
  <si>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</si>
  <si>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</si>
  <si>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</si>
  <si>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</si>
  <si>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</si>
  <si>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</si>
  <si>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</si>
  <si>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</si>
  <si>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</si>
  <si>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</si>
  <si>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</si>
  <si>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</si>
  <si>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</si>
  <si>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</si>
  <si>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</si>
  <si>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</si>
  <si>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</si>
  <si>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</si>
  <si>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</si>
  <si>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</si>
  <si>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</si>
  <si>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</si>
  <si>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</si>
  <si>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</si>
  <si>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</si>
  <si>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</si>
  <si>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</si>
  <si>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</si>
  <si>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</si>
  <si>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</si>
  <si>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</si>
  <si>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</si>
  <si>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</si>
  <si>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</si>
  <si>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</si>
  <si>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</si>
  <si>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</si>
  <si>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</si>
  <si>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</si>
  <si>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</si>
  <si>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</si>
  <si>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</si>
  <si>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</si>
  <si>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</si>
  <si>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</si>
  <si>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</si>
  <si>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</si>
  <si>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</si>
  <si>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</si>
  <si>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</si>
  <si>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</si>
  <si>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</si>
  <si>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</si>
  <si>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</si>
  <si>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</si>
  <si>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</si>
  <si>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</si>
  <si>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</si>
  <si>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</si>
  <si>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</si>
  <si>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</si>
  <si>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</si>
  <si>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</si>
  <si>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</si>
  <si>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</si>
  <si>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</si>
  <si>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</si>
  <si>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</si>
  <si>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</si>
  <si>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</si>
  <si>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</si>
  <si>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</si>
  <si>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</si>
  <si>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</si>
  <si>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</si>
  <si>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</si>
  <si>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</si>
  <si>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</si>
  <si>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</si>
  <si>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</si>
  <si>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</si>
  <si>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</si>
  <si>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</si>
  <si>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</si>
  <si>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</si>
  <si>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</si>
  <si>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</si>
  <si>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</si>
  <si>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</si>
  <si>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</si>
  <si>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</si>
  <si>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</si>
  <si>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</si>
  <si>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</si>
  <si>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</si>
  <si>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</si>
  <si>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</si>
  <si>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</si>
  <si>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</si>
  <si>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</si>
  <si>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</si>
  <si>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</si>
  <si>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</si>
  <si>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</si>
  <si>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</si>
  <si>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</si>
  <si>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</si>
  <si>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</si>
  <si>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</si>
  <si>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</si>
  <si>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</si>
  <si>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</si>
  <si>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</si>
  <si>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</si>
  <si>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</si>
  <si>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</si>
  <si>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</si>
  <si>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</si>
  <si>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</si>
  <si>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</si>
  <si>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</si>
  <si>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</si>
  <si>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</si>
  <si>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</si>
  <si>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</si>
  <si>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</si>
  <si>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</si>
  <si>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</si>
  <si>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</si>
  <si>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</si>
  <si>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</si>
  <si>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</si>
  <si>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</si>
  <si>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</si>
  <si>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</si>
  <si>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</si>
  <si>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</si>
  <si>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</si>
  <si>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</si>
  <si>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</si>
  <si>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</si>
  <si>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</si>
  <si>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</si>
  <si>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</si>
  <si>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</si>
  <si>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</si>
  <si>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</si>
  <si>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</si>
  <si>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</si>
  <si>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</si>
  <si>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</si>
  <si>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</si>
  <si>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</si>
  <si>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</si>
  <si>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</si>
  <si>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</si>
  <si>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</si>
  <si>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</si>
  <si>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</si>
  <si>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</si>
  <si>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</si>
  <si>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</si>
  <si>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</si>
  <si>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</si>
  <si>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</si>
  <si>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</si>
  <si>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</si>
  <si>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</si>
  <si>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</si>
  <si>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</si>
  <si>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</si>
  <si>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</si>
  <si>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</si>
  <si>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</si>
  <si>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</si>
  <si>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</si>
  <si>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</si>
  <si>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</si>
  <si>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</si>
  <si>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</si>
  <si>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</si>
  <si>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</si>
  <si>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</si>
  <si>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</si>
  <si>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</si>
  <si>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</si>
  <si>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</si>
  <si>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</si>
  <si>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</si>
  <si>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</si>
  <si>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</si>
  <si>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</si>
  <si>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</si>
  <si>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</si>
  <si>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</si>
  <si>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</si>
  <si>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</si>
  <si>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</si>
  <si>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</si>
  <si>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</si>
  <si>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</si>
  <si>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</si>
  <si>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</si>
  <si>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</si>
  <si>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</si>
  <si>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</si>
  <si>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</si>
  <si>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</si>
  <si>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</si>
  <si>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</si>
  <si>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</si>
  <si>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</si>
  <si>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</si>
  <si>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</si>
  <si>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</si>
  <si>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</si>
  <si>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</si>
  <si>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</si>
  <si>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</si>
  <si>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</si>
  <si>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</si>
  <si>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</si>
  <si>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</si>
  <si>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</si>
  <si>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</si>
  <si>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</si>
  <si>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</si>
  <si>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</si>
  <si>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</si>
  <si>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</si>
  <si>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</si>
  <si>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</si>
  <si>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</si>
  <si>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</si>
  <si>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</si>
  <si>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</si>
  <si>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</si>
  <si>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</si>
  <si>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</si>
  <si>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</si>
  <si>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</si>
  <si>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</si>
  <si>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</si>
  <si>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</si>
  <si>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</si>
  <si>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</si>
  <si>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</si>
  <si>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</si>
  <si>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</si>
  <si>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</si>
  <si>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</si>
  <si>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</si>
  <si>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</si>
  <si>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</si>
  <si>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</si>
  <si>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</si>
  <si>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</si>
  <si>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</si>
  <si>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</si>
  <si>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</si>
  <si>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</si>
  <si>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</si>
  <si>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</si>
  <si>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</si>
  <si>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</si>
  <si>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</si>
  <si>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</si>
  <si>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</si>
  <si>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</si>
  <si>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</si>
  <si>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</si>
  <si>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</si>
  <si>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</si>
  <si>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</si>
  <si>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</si>
  <si>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</si>
  <si>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</si>
  <si>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</si>
  <si>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</si>
  <si>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</si>
  <si>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</si>
  <si>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</si>
  <si>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</si>
  <si>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</si>
  <si>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</si>
  <si>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</si>
  <si>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</si>
  <si>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</si>
  <si>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</si>
  <si>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</si>
  <si>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</si>
  <si>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</si>
  <si>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</si>
  <si>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</si>
  <si>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</si>
  <si>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</si>
  <si>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</si>
  <si>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</si>
  <si>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</si>
  <si>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</si>
  <si>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</si>
  <si>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</si>
  <si>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</si>
  <si>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</si>
  <si>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</si>
  <si>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</si>
  <si>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</si>
  <si>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</si>
  <si>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</si>
  <si>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</si>
  <si>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</si>
  <si>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</si>
  <si>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</si>
  <si>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</si>
  <si>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</si>
  <si>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</si>
  <si>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</si>
  <si>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</si>
  <si>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</si>
  <si>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</si>
  <si>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</si>
  <si>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</si>
  <si>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</si>
  <si>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</si>
  <si>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</si>
  <si>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</si>
  <si>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</si>
  <si>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</si>
  <si>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</si>
  <si>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</si>
  <si>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</si>
  <si>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</si>
  <si>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</si>
  <si>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</si>
  <si>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</si>
  <si>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</si>
  <si>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</si>
  <si>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</si>
  <si>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</si>
  <si>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</si>
  <si>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</si>
  <si>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</si>
  <si>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</si>
  <si>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</si>
  <si>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</si>
  <si>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</si>
  <si>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</si>
  <si>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</si>
  <si>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</si>
  <si>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</si>
  <si>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</si>
  <si>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</si>
  <si>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</si>
  <si>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</si>
  <si>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</si>
  <si>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</si>
  <si>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</si>
  <si>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</si>
  <si>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</si>
  <si>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</si>
  <si>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</si>
  <si>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</si>
  <si>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</si>
  <si>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</si>
  <si>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</si>
  <si>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</si>
  <si>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</si>
  <si>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</si>
  <si>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</si>
  <si>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</si>
  <si>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</si>
  <si>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</si>
  <si>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</si>
  <si>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</si>
  <si>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</si>
  <si>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</si>
  <si>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</si>
  <si>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</si>
  <si>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</si>
  <si>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</si>
  <si>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</si>
  <si>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</si>
  <si>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</si>
  <si>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</si>
  <si>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</si>
  <si>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</si>
  <si>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</si>
  <si>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</si>
  <si>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</si>
  <si>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</si>
  <si>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</si>
  <si>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</si>
  <si>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</si>
  <si>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</si>
  <si>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</si>
  <si>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</si>
  <si>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</si>
  <si>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</si>
  <si>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</si>
  <si>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</si>
  <si>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</si>
  <si>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</si>
  <si>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</si>
  <si>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</si>
  <si>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</si>
  <si>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</si>
  <si>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</si>
  <si>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</si>
  <si>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</si>
  <si>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</si>
  <si>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</si>
  <si>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</si>
  <si>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</si>
  <si>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</si>
  <si>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</si>
  <si>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</si>
  <si>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</si>
  <si>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</si>
  <si>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</si>
  <si>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</si>
  <si>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</si>
  <si>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</si>
  <si>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</si>
  <si>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</si>
  <si>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</si>
  <si>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</si>
  <si>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</si>
  <si>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</si>
  <si>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</si>
  <si>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</si>
  <si>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</si>
  <si>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</si>
  <si>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</si>
  <si>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</si>
  <si>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</si>
  <si>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</si>
  <si>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</si>
  <si>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</si>
  <si>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</si>
  <si>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</si>
  <si>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</si>
  <si>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</si>
  <si>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</si>
  <si>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</si>
  <si>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</si>
  <si>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</si>
  <si>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</si>
  <si>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</si>
  <si>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</si>
  <si>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</si>
  <si>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</si>
  <si>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</si>
  <si>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</si>
  <si>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</si>
  <si>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</si>
  <si>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</si>
  <si>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</si>
  <si>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</si>
  <si>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</si>
  <si>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</si>
  <si>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</si>
  <si>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</si>
  <si>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</si>
  <si>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</si>
  <si>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</si>
  <si>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</si>
  <si>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</si>
  <si>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</si>
  <si>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</si>
  <si>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</si>
  <si>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</si>
  <si>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</si>
  <si>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</si>
  <si>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</si>
  <si>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</si>
  <si>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</si>
  <si>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</si>
  <si>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</si>
  <si>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</si>
  <si>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</si>
  <si>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</si>
  <si>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</si>
  <si>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</si>
  <si>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</si>
  <si>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</si>
  <si>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</si>
  <si>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</si>
  <si>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</si>
  <si>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</si>
  <si>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</si>
  <si>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</si>
  <si>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</si>
  <si>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</si>
  <si>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</si>
  <si>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</si>
  <si>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</si>
  <si>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</si>
  <si>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</si>
  <si>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</si>
  <si>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</si>
  <si>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</si>
  <si>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</si>
  <si>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</si>
  <si>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</si>
  <si>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</si>
  <si>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</si>
  <si>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</si>
  <si>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</si>
  <si>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</si>
  <si>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</si>
  <si>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</si>
  <si>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</si>
  <si>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</si>
  <si>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</si>
  <si>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</si>
  <si>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</si>
  <si>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</si>
  <si>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</si>
  <si>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</si>
  <si>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</si>
  <si>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</si>
  <si>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</si>
  <si>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</si>
  <si>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</si>
  <si>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</si>
  <si>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</si>
  <si>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</si>
  <si>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</si>
  <si>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</si>
  <si>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</si>
  <si>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</si>
  <si>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</si>
  <si>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</si>
  <si>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</si>
  <si>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</si>
  <si>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</si>
  <si>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</si>
  <si>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</si>
  <si>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</si>
  <si>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</si>
  <si>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</si>
  <si>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</si>
  <si>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</si>
  <si>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</si>
  <si>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</si>
  <si>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</si>
  <si>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</si>
  <si>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</si>
  <si>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</si>
  <si>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</si>
  <si>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</si>
  <si>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</si>
  <si>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</si>
  <si>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</si>
  <si>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</si>
  <si>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</si>
  <si>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</si>
  <si>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</si>
  <si>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</si>
  <si>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</si>
  <si>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</si>
  <si>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</si>
  <si>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</si>
  <si>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</si>
  <si>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</si>
  <si>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</si>
  <si>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</si>
  <si>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</si>
  <si>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</si>
  <si>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</si>
  <si>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</si>
  <si>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</si>
  <si>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</si>
  <si>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</si>
  <si>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</si>
  <si>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</si>
  <si>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</si>
  <si>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</si>
  <si>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</si>
  <si>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</si>
  <si>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</si>
  <si>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</si>
  <si>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</si>
  <si>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</si>
  <si>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</si>
  <si>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</si>
  <si>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</si>
  <si>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</si>
  <si>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</si>
  <si>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</si>
  <si>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</si>
  <si>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</si>
  <si>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</si>
  <si>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</si>
  <si>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</si>
  <si>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</si>
  <si>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</si>
  <si>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</si>
  <si>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</si>
  <si>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</si>
  <si>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</si>
  <si>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</si>
  <si>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</si>
  <si>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</si>
  <si>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</si>
  <si>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</si>
  <si>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</si>
  <si>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</si>
  <si>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</si>
  <si>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</si>
  <si>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</si>
  <si>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</si>
  <si>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</si>
  <si>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</si>
  <si>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</si>
  <si>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</si>
  <si>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</si>
  <si>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</si>
  <si>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</si>
  <si>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</si>
  <si>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</si>
  <si>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</si>
  <si>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</si>
  <si>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</si>
  <si>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</si>
  <si>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</si>
  <si>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</si>
  <si>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</si>
  <si>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</si>
  <si>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</si>
  <si>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</si>
  <si>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</si>
  <si>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</si>
  <si>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</si>
  <si>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</si>
  <si>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</si>
  <si>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</si>
  <si>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</si>
  <si>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</si>
  <si>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</si>
  <si>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</si>
  <si>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</si>
  <si>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</si>
  <si>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</si>
  <si>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</si>
  <si>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</si>
  <si>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</si>
  <si>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</si>
  <si>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</si>
  <si>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</si>
  <si>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</si>
  <si>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</si>
  <si>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</si>
  <si>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</si>
  <si>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</si>
  <si>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</si>
  <si>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</si>
  <si>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</si>
  <si>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</si>
  <si>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</si>
  <si>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</si>
  <si>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</si>
  <si>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</si>
  <si>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</si>
  <si>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</si>
  <si>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</si>
  <si>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</si>
  <si>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</si>
  <si>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</si>
  <si>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</si>
  <si>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</si>
  <si>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</si>
  <si>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</si>
  <si>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</si>
  <si>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</si>
  <si>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</si>
  <si>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</si>
  <si>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</si>
  <si>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</si>
  <si>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</si>
  <si>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</si>
  <si>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</si>
  <si>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</si>
  <si>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</si>
  <si>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</si>
  <si>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</si>
  <si>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</si>
  <si>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</si>
  <si>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</si>
  <si>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</si>
  <si>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</si>
  <si>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</si>
  <si>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</si>
  <si>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</si>
  <si>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</si>
  <si>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</si>
  <si>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</si>
  <si>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</si>
  <si>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</si>
  <si>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</si>
  <si>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</si>
  <si>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</si>
  <si>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</si>
  <si>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</si>
  <si>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</si>
  <si>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</si>
  <si>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</si>
  <si>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</si>
  <si>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</si>
  <si>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</si>
  <si>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</si>
  <si>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</si>
  <si>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</si>
  <si>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</si>
  <si>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</si>
  <si>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</si>
  <si>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</si>
  <si>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</si>
  <si>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</si>
  <si>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</si>
  <si>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</si>
  <si>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</si>
  <si>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</si>
  <si>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</si>
  <si>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</si>
  <si>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</si>
  <si>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</si>
  <si>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</si>
  <si>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</si>
  <si>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</si>
  <si>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</si>
  <si>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</si>
  <si>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</si>
  <si>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</si>
  <si>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</si>
  <si>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</si>
  <si>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</si>
  <si>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</si>
  <si>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</si>
  <si>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</si>
  <si>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</si>
  <si>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</si>
  <si>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</si>
  <si>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</si>
  <si>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</si>
  <si>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</si>
  <si>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</si>
  <si>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</si>
  <si>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</si>
  <si>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</si>
  <si>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</si>
  <si>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</si>
  <si>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</si>
  <si>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</si>
  <si>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</si>
  <si>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</si>
  <si>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</si>
  <si>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</si>
  <si>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</si>
  <si>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</si>
  <si>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</si>
  <si>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</si>
  <si>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</si>
  <si>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</si>
  <si>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</si>
  <si>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</si>
  <si>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</si>
  <si>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</si>
  <si>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</si>
  <si>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</si>
  <si>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</si>
  <si>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</si>
  <si>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</si>
  <si>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</si>
  <si>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</si>
  <si>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</si>
  <si>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</si>
  <si>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</si>
  <si>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</si>
  <si>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</si>
  <si>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</si>
  <si>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</si>
  <si>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</si>
  <si>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</si>
  <si>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</si>
  <si>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</si>
  <si>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</si>
  <si>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</si>
  <si>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</si>
  <si>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</si>
  <si>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</si>
  <si>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</si>
  <si>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</si>
  <si>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</si>
  <si>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</si>
  <si>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</si>
  <si>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</si>
  <si>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</si>
  <si>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</si>
  <si>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</si>
  <si>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</si>
  <si>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</si>
  <si>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</si>
  <si>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</si>
  <si>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</si>
  <si>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</si>
  <si>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</si>
  <si>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</si>
  <si>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</si>
  <si>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</si>
  <si>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</si>
  <si>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</si>
  <si>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</si>
  <si>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</si>
  <si>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</si>
  <si>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</si>
  <si>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</si>
  <si>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</si>
  <si>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</si>
  <si>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</si>
  <si>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</si>
  <si>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</si>
  <si>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</si>
  <si>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</si>
  <si>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</si>
  <si>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</si>
  <si>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</si>
  <si>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</si>
  <si>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</si>
  <si>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</si>
  <si>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</si>
  <si>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</si>
  <si>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</si>
  <si>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</si>
  <si>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</si>
  <si>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</si>
  <si>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</si>
  <si>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</si>
  <si>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</si>
  <si>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</si>
  <si>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</si>
  <si>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</si>
  <si>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</si>
  <si>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</si>
  <si>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</si>
  <si>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</si>
  <si>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</si>
  <si>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</si>
  <si>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</si>
  <si>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</si>
  <si>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</si>
  <si>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</si>
  <si>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</si>
  <si>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</si>
  <si>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</si>
  <si>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</si>
  <si>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</si>
  <si>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</si>
  <si>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</si>
  <si>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</si>
  <si>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</si>
  <si>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</si>
  <si>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</si>
  <si>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</si>
  <si>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</si>
  <si>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</si>
  <si>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</si>
  <si>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</si>
  <si>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</si>
  <si>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</si>
  <si>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</si>
  <si>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</si>
  <si>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</si>
  <si>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</si>
  <si>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</si>
  <si>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</si>
  <si>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</si>
  <si>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</si>
  <si>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</si>
  <si>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</si>
  <si>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</si>
  <si>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</si>
  <si>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</si>
  <si>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</si>
  <si>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</si>
  <si>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</si>
  <si>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</si>
  <si>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</si>
  <si>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</si>
  <si>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</si>
  <si>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</si>
  <si>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</si>
  <si>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</si>
  <si>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</si>
  <si>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</si>
  <si>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</si>
  <si>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</si>
  <si>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</si>
  <si>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</si>
  <si>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</si>
  <si>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</si>
  <si>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</si>
  <si>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</si>
  <si>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</si>
  <si>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</si>
  <si>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</si>
  <si>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</si>
  <si>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</si>
  <si>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</si>
  <si>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</si>
  <si>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</si>
  <si>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</si>
  <si>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</si>
  <si>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</si>
  <si>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</si>
  <si>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</si>
  <si>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</si>
  <si>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</si>
  <si>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</si>
  <si>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</si>
  <si>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</si>
  <si>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</si>
  <si>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</si>
  <si>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</si>
  <si>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</si>
  <si>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</si>
  <si>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</si>
  <si>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</si>
  <si>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</si>
  <si>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</si>
  <si>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</si>
  <si>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</si>
  <si>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</si>
  <si>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</si>
  <si>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</si>
  <si>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</si>
  <si>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</si>
  <si>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</si>
  <si>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</si>
  <si>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</si>
  <si>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</si>
  <si>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</si>
  <si>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</si>
  <si>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</si>
  <si>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</si>
  <si>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</si>
  <si>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</si>
  <si>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</si>
  <si>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</si>
  <si>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</si>
  <si>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</si>
  <si>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</si>
  <si>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</si>
  <si>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</si>
  <si>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</si>
  <si>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</si>
  <si>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</si>
  <si>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</si>
  <si>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</si>
  <si>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</si>
  <si>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</si>
  <si>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</si>
  <si>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</si>
  <si>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</si>
  <si>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</si>
  <si>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</si>
  <si>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</si>
  <si>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</si>
  <si>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</si>
  <si>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</si>
  <si>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</si>
  <si>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</si>
  <si>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</si>
  <si>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</si>
  <si>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</si>
  <si>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</si>
  <si>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</si>
  <si>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</si>
  <si>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</si>
  <si>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</si>
  <si>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</si>
  <si>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</si>
  <si>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</si>
  <si>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</si>
  <si>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</si>
  <si>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</si>
  <si>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</si>
  <si>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</si>
  <si>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</si>
  <si>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</si>
  <si>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</si>
  <si>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</si>
  <si>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</si>
  <si>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</si>
  <si>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</si>
  <si>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</si>
  <si>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</si>
  <si>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</si>
  <si>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</si>
  <si>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</si>
  <si>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</si>
  <si>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</si>
  <si>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</si>
  <si>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</si>
  <si>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</si>
  <si>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</si>
  <si>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</si>
  <si>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</si>
  <si>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</si>
  <si>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</si>
  <si>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</si>
  <si>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</si>
  <si>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</si>
  <si>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</si>
  <si>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</si>
  <si>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</si>
  <si>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</si>
  <si>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</si>
  <si>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</si>
  <si>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</si>
  <si>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</si>
  <si>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</si>
  <si>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</si>
  <si>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</si>
  <si>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</si>
  <si>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</si>
  <si>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</si>
  <si>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</si>
  <si>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</si>
  <si>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</si>
  <si>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</si>
  <si>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</si>
  <si>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</si>
  <si>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</si>
  <si>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</si>
  <si>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</si>
  <si>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</si>
  <si>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</si>
  <si>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</si>
  <si>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</si>
  <si>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</si>
  <si>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</si>
  <si>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</si>
  <si>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</si>
  <si>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</si>
  <si>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</si>
  <si>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</si>
  <si>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</si>
  <si>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</si>
  <si>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</si>
  <si>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</si>
  <si>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</si>
  <si>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</si>
  <si>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</si>
  <si>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</si>
  <si>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</si>
  <si>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</si>
  <si>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</si>
  <si>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</si>
  <si>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</si>
  <si>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</si>
  <si>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</si>
  <si>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</si>
  <si>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</si>
  <si>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</si>
  <si>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</si>
  <si>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</si>
  <si>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</si>
  <si>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</si>
  <si>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</si>
  <si>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</si>
  <si>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</si>
  <si>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</si>
  <si>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</si>
  <si>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</si>
  <si>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</si>
  <si>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</si>
  <si>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</si>
  <si>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</si>
  <si>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</si>
  <si>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</si>
  <si>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</si>
  <si>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</si>
  <si>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</si>
  <si>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</si>
  <si>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</si>
  <si>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</si>
  <si>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</si>
  <si>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</si>
  <si>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</si>
  <si>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</si>
  <si>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</si>
  <si>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</si>
  <si>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</si>
  <si>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</si>
  <si>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</si>
  <si>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</si>
  <si>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</si>
  <si>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</si>
  <si>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</si>
  <si>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</si>
  <si>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</si>
  <si>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</si>
  <si>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</si>
  <si>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</si>
  <si>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</si>
  <si>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</si>
  <si>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</si>
  <si>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</si>
  <si>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</si>
  <si>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</si>
  <si>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</si>
  <si>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</si>
  <si>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</si>
  <si>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</si>
  <si>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</si>
  <si>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</si>
  <si>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</si>
  <si>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</si>
  <si>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</si>
  <si>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</si>
  <si>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</si>
  <si>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</si>
  <si>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</si>
  <si>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</si>
  <si>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</si>
  <si>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</si>
  <si>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</si>
  <si>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</si>
  <si>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</si>
  <si>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</si>
  <si>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</si>
  <si>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</si>
  <si>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</si>
  <si>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</si>
  <si>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</si>
  <si>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</si>
  <si>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</si>
  <si>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</si>
  <si>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</si>
  <si>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</si>
  <si>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</si>
  <si>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</si>
  <si>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</si>
  <si>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</si>
  <si>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</si>
  <si>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</si>
  <si>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</si>
  <si>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</si>
  <si>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</si>
  <si>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</si>
  <si>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</si>
  <si>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</si>
  <si>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</si>
  <si>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</si>
  <si>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</si>
  <si>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</si>
  <si>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</si>
  <si>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</si>
  <si>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</si>
  <si>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</si>
  <si>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</si>
  <si>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</si>
  <si>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</si>
  <si>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</si>
  <si>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</si>
  <si>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</si>
  <si>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</si>
  <si>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</si>
  <si>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</si>
  <si>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</si>
  <si>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</si>
  <si>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</si>
  <si>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</si>
  <si>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</si>
  <si>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</si>
  <si>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</si>
  <si>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</si>
  <si>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</si>
  <si>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</si>
  <si>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</si>
  <si>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</si>
  <si>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</si>
  <si>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</si>
  <si>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</si>
  <si>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</si>
  <si>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</si>
  <si>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</si>
  <si>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</si>
  <si>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</si>
  <si>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</si>
  <si>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</si>
  <si>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</si>
  <si>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</si>
  <si>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</si>
  <si>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</si>
  <si>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</si>
  <si>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</si>
  <si>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</si>
  <si>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</si>
  <si>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</si>
  <si>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</si>
  <si>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</si>
  <si>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</si>
  <si>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</si>
  <si>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</si>
  <si>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</si>
  <si>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</si>
  <si>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</si>
  <si>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</si>
  <si>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</si>
  <si>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</si>
  <si>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</si>
  <si>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</si>
  <si>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</si>
  <si>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</si>
  <si>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</si>
  <si>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</si>
  <si>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</si>
  <si>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</si>
  <si>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</si>
  <si>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</si>
  <si>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</si>
  <si>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</si>
  <si>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</si>
  <si>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</si>
  <si>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</si>
  <si>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</si>
  <si>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</si>
  <si>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</si>
  <si>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</si>
  <si>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</si>
  <si>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</si>
  <si>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</si>
  <si>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</si>
  <si>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</si>
  <si>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</si>
  <si>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</si>
  <si>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</si>
  <si>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</si>
  <si>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</si>
  <si>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</si>
  <si>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</si>
  <si>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</si>
  <si>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</si>
  <si>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</si>
  <si>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</si>
  <si>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</si>
  <si>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</si>
  <si>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</si>
  <si>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</si>
  <si>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</si>
  <si>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</si>
  <si>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</si>
  <si>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</si>
  <si>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</si>
  <si>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</si>
  <si>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</si>
  <si>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</si>
  <si>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</si>
  <si>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</si>
  <si>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</si>
  <si>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</si>
  <si>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</si>
  <si>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</si>
  <si>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</si>
  <si>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</si>
  <si>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</si>
  <si>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</si>
  <si>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</si>
  <si>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</si>
  <si>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</si>
  <si>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</si>
  <si>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</si>
  <si>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</si>
  <si>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</si>
  <si>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</si>
  <si>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</si>
  <si>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</si>
  <si>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</si>
  <si>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</si>
  <si>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</si>
  <si>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</si>
  <si>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</si>
  <si>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</si>
  <si>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</si>
  <si>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</si>
  <si>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</si>
  <si>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</si>
  <si>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</si>
  <si>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</si>
  <si>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</si>
  <si>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</si>
  <si>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</si>
  <si>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</si>
  <si>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</si>
  <si>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</si>
  <si>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</si>
  <si>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</si>
  <si>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</si>
  <si>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</si>
  <si>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</si>
  <si>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</si>
  <si>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</si>
  <si>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</si>
  <si>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</si>
  <si>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</si>
  <si>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</si>
  <si>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</si>
  <si>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</si>
  <si>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</si>
  <si>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</si>
  <si>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</si>
  <si>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</si>
  <si>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</si>
  <si>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</si>
  <si>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</si>
  <si>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</si>
  <si>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</si>
  <si>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</si>
  <si>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</si>
  <si>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</si>
  <si>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</si>
  <si>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</si>
  <si>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</si>
  <si>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</si>
  <si>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</si>
  <si>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</si>
  <si>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</si>
  <si>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</si>
  <si>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</si>
  <si>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</si>
  <si>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</si>
  <si>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</si>
  <si>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</si>
  <si>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</si>
  <si>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</si>
  <si>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</si>
  <si>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</si>
  <si>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</si>
  <si>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</si>
  <si>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</si>
  <si>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</si>
  <si>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</si>
  <si>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</si>
  <si>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</si>
  <si>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</si>
  <si>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</si>
  <si>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</si>
  <si>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</si>
  <si>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</si>
  <si>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</si>
  <si>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</si>
  <si>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</si>
  <si>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</si>
  <si>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</si>
  <si>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</si>
  <si>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</si>
  <si>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</si>
  <si>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</si>
  <si>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</si>
  <si>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</si>
  <si>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</si>
  <si>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</si>
  <si>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</si>
  <si>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</si>
  <si>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</si>
  <si>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</si>
  <si>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</si>
  <si>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</si>
  <si>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</si>
  <si>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</si>
  <si>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</si>
  <si>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</si>
  <si>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</si>
  <si>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</si>
  <si>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</si>
  <si>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</si>
  <si>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</si>
  <si>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</si>
  <si>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</si>
  <si>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</si>
  <si>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</si>
  <si>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</si>
  <si>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</si>
  <si>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</si>
  <si>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</si>
  <si>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</si>
  <si>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</si>
  <si>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</si>
  <si>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</si>
  <si>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</si>
  <si>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</si>
  <si>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</si>
  <si>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</si>
  <si>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</si>
  <si>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</si>
  <si>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</si>
  <si>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</si>
  <si>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</si>
  <si>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</si>
  <si>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</si>
  <si>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</si>
  <si>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</si>
  <si>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</si>
  <si>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</si>
  <si>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</si>
  <si>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</si>
  <si>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</si>
  <si>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</si>
  <si>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</si>
  <si>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</si>
  <si>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</si>
  <si>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</si>
  <si>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</si>
  <si>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</si>
  <si>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</si>
  <si>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</si>
  <si>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</si>
  <si>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</si>
  <si>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</si>
  <si>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</si>
  <si>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</si>
  <si>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</si>
  <si>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</si>
  <si>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</si>
  <si>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</si>
  <si>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</si>
  <si>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</si>
  <si>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</si>
  <si>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</si>
  <si>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</si>
  <si>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</si>
  <si>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</si>
  <si>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</si>
  <si>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</si>
  <si>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</si>
  <si>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</si>
  <si>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</si>
  <si>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</si>
  <si>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</si>
  <si>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</si>
  <si>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</si>
  <si>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</si>
  <si>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</si>
  <si>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</si>
  <si>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</si>
  <si>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</si>
  <si>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</si>
  <si>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</si>
  <si>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</si>
  <si>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</si>
  <si>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</si>
  <si>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</si>
  <si>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</si>
  <si>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</si>
  <si>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</si>
  <si>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</si>
  <si>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</si>
  <si>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</si>
  <si>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</si>
  <si>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</si>
  <si>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</si>
  <si>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</si>
  <si>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</si>
  <si>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</si>
  <si>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</si>
  <si>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</si>
  <si>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</si>
  <si>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</si>
  <si>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</si>
  <si>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</si>
  <si>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</si>
  <si>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</si>
  <si>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</si>
  <si>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</si>
  <si>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</si>
  <si>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</si>
  <si>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</si>
  <si>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</si>
  <si>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</si>
  <si>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</si>
  <si>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</si>
  <si>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</si>
  <si>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</si>
  <si>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</si>
  <si>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</si>
  <si>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</si>
  <si>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</si>
  <si>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</si>
  <si>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</si>
  <si>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</si>
  <si>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</si>
  <si>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</si>
  <si>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</si>
  <si>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</si>
  <si>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</si>
  <si>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</si>
  <si>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</si>
  <si>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</si>
  <si>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</si>
  <si>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</si>
  <si>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</si>
  <si>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</si>
  <si>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</si>
  <si>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</si>
  <si>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</si>
  <si>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</si>
  <si>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</si>
  <si>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</si>
  <si>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</si>
  <si>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</si>
  <si>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</si>
  <si>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</si>
  <si>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</si>
  <si>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</si>
  <si>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</si>
  <si>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</si>
  <si>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</si>
  <si>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</si>
  <si>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</si>
  <si>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</si>
  <si>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</si>
  <si>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</si>
  <si>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</si>
  <si>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</si>
  <si>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</si>
  <si>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</si>
  <si>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</si>
  <si>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</si>
  <si>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</si>
  <si>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</si>
  <si>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</si>
  <si>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</si>
  <si>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</si>
  <si>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</si>
  <si>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</si>
  <si>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</si>
  <si>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</si>
  <si>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</si>
  <si>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</si>
  <si>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</si>
  <si>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</si>
  <si>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</si>
  <si>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</si>
  <si>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</si>
  <si>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</si>
  <si>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</si>
  <si>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</si>
  <si>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</si>
  <si>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</si>
  <si>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</si>
  <si>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</si>
  <si>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</si>
  <si>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</si>
  <si>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</si>
  <si>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</si>
  <si>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</si>
  <si>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</si>
  <si>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</si>
  <si>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</si>
  <si>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</si>
  <si>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</si>
  <si>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</si>
  <si>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</si>
  <si>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</si>
  <si>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</si>
  <si>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</si>
  <si>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</si>
  <si>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</si>
  <si>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</si>
  <si>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</si>
  <si>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</si>
  <si>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</si>
  <si>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</si>
  <si>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</si>
  <si>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</si>
  <si>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</si>
  <si>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</si>
  <si>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</si>
  <si>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</si>
  <si>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</si>
  <si>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</si>
  <si>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</si>
  <si>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</si>
  <si>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</si>
  <si>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</si>
  <si>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</si>
  <si>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</si>
  <si>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</si>
  <si>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</si>
  <si>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</si>
  <si>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</si>
  <si>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</si>
  <si>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</si>
  <si>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</si>
  <si>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</si>
  <si>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</si>
  <si>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</si>
  <si>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</si>
  <si>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</si>
  <si>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</si>
  <si>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</si>
  <si>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</si>
  <si>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</si>
  <si>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</si>
  <si>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</si>
  <si>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</si>
  <si>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</si>
  <si>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</si>
  <si>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</si>
  <si>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</si>
  <si>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</si>
  <si>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</si>
  <si>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</si>
  <si>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</si>
  <si>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</si>
  <si>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</si>
  <si>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</si>
  <si>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</si>
  <si>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</si>
  <si>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</si>
  <si>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</si>
  <si>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</si>
  <si>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</si>
  <si>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</si>
  <si>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</si>
  <si>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</si>
  <si>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</si>
  <si>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</si>
  <si>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</si>
  <si>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</si>
  <si>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</si>
  <si>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</si>
  <si>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</si>
  <si>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</si>
  <si>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</si>
  <si>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</si>
  <si>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</si>
  <si>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</si>
  <si>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</si>
  <si>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</si>
  <si>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</si>
  <si>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</si>
  <si>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</si>
  <si>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</si>
  <si>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</si>
  <si>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</si>
  <si>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</si>
  <si>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</si>
  <si>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</si>
  <si>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</si>
  <si>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</si>
  <si>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</si>
  <si>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</si>
  <si>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</si>
  <si>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</si>
  <si>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</si>
  <si>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</si>
  <si>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</si>
  <si>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</si>
  <si>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</si>
  <si>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</si>
  <si>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</si>
  <si>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</si>
  <si>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</si>
  <si>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</si>
  <si>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</si>
  <si>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</si>
  <si>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</si>
  <si>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</si>
  <si>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</si>
  <si>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</si>
  <si>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</si>
  <si>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</si>
  <si>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</si>
  <si>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</si>
  <si>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</si>
  <si>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</si>
  <si>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</si>
  <si>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</si>
  <si>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</si>
  <si>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</si>
  <si>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</si>
  <si>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</si>
  <si>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</si>
  <si>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</si>
  <si>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</si>
  <si>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</si>
  <si>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</si>
  <si>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</si>
  <si>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</si>
  <si>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</si>
  <si>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</si>
  <si>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</si>
  <si>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</si>
  <si>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</si>
  <si>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</si>
  <si>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</si>
  <si>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</si>
  <si>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</si>
  <si>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</si>
  <si>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</si>
  <si>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</si>
  <si>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</si>
  <si>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</si>
  <si>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</si>
  <si>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</si>
  <si>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</si>
  <si>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</si>
  <si>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</si>
  <si>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</si>
  <si>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</si>
  <si>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</si>
  <si>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</si>
  <si>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</si>
  <si>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</si>
  <si>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</si>
  <si>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</si>
  <si>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</si>
  <si>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</si>
  <si>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</si>
  <si>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</si>
  <si>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</si>
  <si>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</si>
  <si>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</si>
  <si>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</si>
  <si>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</si>
  <si>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</si>
  <si>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</si>
  <si>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</si>
  <si>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</si>
  <si>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</si>
  <si>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</si>
  <si>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</si>
  <si>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</si>
  <si>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</si>
  <si>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</si>
  <si>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</si>
  <si>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</si>
  <si>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</si>
  <si>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</si>
  <si>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</si>
  <si>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</si>
  <si>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</si>
  <si>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</si>
  <si>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</si>
  <si>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</si>
  <si>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</si>
  <si>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</si>
  <si>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</si>
  <si>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</si>
  <si>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</si>
  <si>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</si>
  <si>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</si>
  <si>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</si>
  <si>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</si>
  <si>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</si>
  <si>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</si>
  <si>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</si>
  <si>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</si>
  <si>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</si>
  <si>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</si>
  <si>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</si>
  <si>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</si>
  <si>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</si>
  <si>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</si>
  <si>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</si>
  <si>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</si>
  <si>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</si>
  <si>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</si>
  <si>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</si>
  <si>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</si>
  <si>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</si>
  <si>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</si>
  <si>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</si>
  <si>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</si>
  <si>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</si>
  <si>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</si>
  <si>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</si>
  <si>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</si>
  <si>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</si>
  <si>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</si>
  <si>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</si>
  <si>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</si>
  <si>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</si>
  <si>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</si>
  <si>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</si>
  <si>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</si>
  <si>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</si>
  <si>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</si>
  <si>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</si>
  <si>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</si>
  <si>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</si>
  <si>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</si>
  <si>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</si>
  <si>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</si>
  <si>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</si>
  <si>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</si>
  <si>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</si>
  <si>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</si>
  <si>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</si>
  <si>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</si>
  <si>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</si>
  <si>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</si>
  <si>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</si>
  <si>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</si>
  <si>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</si>
  <si>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</si>
  <si>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</si>
  <si>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</si>
  <si>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</si>
  <si>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</si>
  <si>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</si>
  <si>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</si>
  <si>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</si>
  <si>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</si>
  <si>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</si>
  <si>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</si>
  <si>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</si>
  <si>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</si>
  <si>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</si>
  <si>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</si>
  <si>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</si>
  <si>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</si>
  <si>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</si>
  <si>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</si>
  <si>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</si>
  <si>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</si>
  <si>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</si>
  <si>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</si>
  <si>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</si>
  <si>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</si>
  <si>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</si>
  <si>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</si>
  <si>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</si>
  <si>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</si>
  <si>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</si>
  <si>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</si>
  <si>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</si>
  <si>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</si>
  <si>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</si>
  <si>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</si>
  <si>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</si>
  <si>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</si>
  <si>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</si>
  <si>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</si>
  <si>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</si>
  <si>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</si>
  <si>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</si>
  <si>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</si>
  <si>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</si>
  <si>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</si>
  <si>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</si>
  <si>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</si>
  <si>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</si>
  <si>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</si>
  <si>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</si>
  <si>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</si>
  <si>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</si>
  <si>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</si>
  <si>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</si>
  <si>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</si>
  <si>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</si>
  <si>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</si>
  <si>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</si>
  <si>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</si>
  <si>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</si>
  <si>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</si>
  <si>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</si>
  <si>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</si>
  <si>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</si>
  <si>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</si>
  <si>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</si>
  <si>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</si>
  <si>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</si>
  <si>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</si>
  <si>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</si>
  <si>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</si>
  <si>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</si>
  <si>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</si>
  <si>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</si>
  <si>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</si>
  <si>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</si>
  <si>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</si>
  <si>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</si>
  <si>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</si>
  <si>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</si>
  <si>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</si>
  <si>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</si>
  <si>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</si>
  <si>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</si>
  <si>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</si>
  <si>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</si>
  <si>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</si>
  <si>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</si>
  <si>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</si>
  <si>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</si>
  <si>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</si>
  <si>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</si>
  <si>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</si>
  <si>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</si>
  <si>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</si>
  <si>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</si>
  <si>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</si>
  <si>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</si>
  <si>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</si>
  <si>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</si>
  <si>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</si>
  <si>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</si>
  <si>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</si>
  <si>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</si>
  <si>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</si>
  <si>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</si>
  <si>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</si>
  <si>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</si>
  <si>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</si>
  <si>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</si>
  <si>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</si>
  <si>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</si>
  <si>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</si>
  <si>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</si>
  <si>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</si>
  <si>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</si>
  <si>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</si>
  <si>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</si>
  <si>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</si>
  <si>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</si>
  <si>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</si>
  <si>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</si>
  <si>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</si>
  <si>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</si>
  <si>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</si>
  <si>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</si>
  <si>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</si>
  <si>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</si>
  <si>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</si>
  <si>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</si>
  <si>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</si>
  <si>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</si>
  <si>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</si>
  <si>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</si>
  <si>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</si>
  <si>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</si>
  <si>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</si>
  <si>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</si>
  <si>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</si>
  <si>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</si>
  <si>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</si>
  <si>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</si>
  <si>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</si>
  <si>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</si>
  <si>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</si>
  <si>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</si>
  <si>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</si>
  <si>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</si>
  <si>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</si>
  <si>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</si>
  <si>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</si>
  <si>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</si>
  <si>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</si>
  <si>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</si>
  <si>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</si>
  <si>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</si>
  <si>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</si>
  <si>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</si>
  <si>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</si>
  <si>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</si>
  <si>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</si>
  <si>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</si>
  <si>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</si>
  <si>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</si>
  <si>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</si>
  <si>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</si>
  <si>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</si>
  <si>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</si>
  <si>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</si>
  <si>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</si>
  <si>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</si>
  <si>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</si>
  <si>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</si>
  <si>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</si>
  <si>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</si>
  <si>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</si>
  <si>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</si>
  <si>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</si>
  <si>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</si>
  <si>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</si>
  <si>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</si>
  <si>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</si>
  <si>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</si>
  <si>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</si>
  <si>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</si>
  <si>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</si>
  <si>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</si>
  <si>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</si>
  <si>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</si>
  <si>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</si>
  <si>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</si>
  <si>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</si>
  <si>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</si>
  <si>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</si>
  <si>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</si>
  <si>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</si>
  <si>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</si>
  <si>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</si>
  <si>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</si>
  <si>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</si>
  <si>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</si>
  <si>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</si>
  <si>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</si>
  <si>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</si>
  <si>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</si>
  <si>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</si>
  <si>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</si>
  <si>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</si>
  <si>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</si>
  <si>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</si>
  <si>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</si>
  <si>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</si>
  <si>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</si>
  <si>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</si>
  <si>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</si>
  <si>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</si>
  <si>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</si>
  <si>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</si>
  <si>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</si>
  <si>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</si>
  <si>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</si>
  <si>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</si>
  <si>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</si>
  <si>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</si>
  <si>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</si>
  <si>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</si>
  <si>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</si>
  <si>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</si>
  <si>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</si>
  <si>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</si>
  <si>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</si>
  <si>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</si>
  <si>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</si>
  <si>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</si>
  <si>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</si>
  <si>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</si>
  <si>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</si>
  <si>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</si>
  <si>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</si>
  <si>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</si>
  <si>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</si>
  <si>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</si>
  <si>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</si>
  <si>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</si>
  <si>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</si>
  <si>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</si>
  <si>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</si>
  <si>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</si>
  <si>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</si>
  <si>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</si>
  <si>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</si>
  <si>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</si>
  <si>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</si>
  <si>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</si>
  <si>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</si>
  <si>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</si>
  <si>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</si>
  <si>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</si>
  <si>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</si>
  <si>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</si>
  <si>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</si>
  <si>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</si>
  <si>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</si>
  <si>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</si>
  <si>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</si>
  <si>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</si>
  <si>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</si>
  <si>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</si>
  <si>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</si>
  <si>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</si>
  <si>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</si>
  <si>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</si>
  <si>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</si>
  <si>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</si>
  <si>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</si>
  <si>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</si>
  <si>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</si>
  <si>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</si>
  <si>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</si>
  <si>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</si>
  <si>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</si>
  <si>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</si>
  <si>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</si>
  <si>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</si>
  <si>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</si>
  <si>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</si>
  <si>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</si>
  <si>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</si>
  <si>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</si>
  <si>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</si>
  <si>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</si>
  <si>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</si>
  <si>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</si>
  <si>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</si>
  <si>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</si>
  <si>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</si>
  <si>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</si>
  <si>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</si>
  <si>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</si>
  <si>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</si>
  <si>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</si>
  <si>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</si>
  <si>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</si>
  <si>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</si>
  <si>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</si>
  <si>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</si>
  <si>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</si>
  <si>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</si>
  <si>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</si>
  <si>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</si>
  <si>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</si>
  <si>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</si>
  <si>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</si>
  <si>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</si>
  <si>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</si>
  <si>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</si>
  <si>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</si>
  <si>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</si>
  <si>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</si>
  <si>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</si>
  <si>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</si>
  <si>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</si>
  <si>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</si>
  <si>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</si>
  <si>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</si>
  <si>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</si>
  <si>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</si>
  <si>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</si>
  <si>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</si>
  <si>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</si>
  <si>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</si>
  <si>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</si>
  <si>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</si>
  <si>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</si>
  <si>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</si>
  <si>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</si>
  <si>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</si>
  <si>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</si>
  <si>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</si>
  <si>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</si>
  <si>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</si>
  <si>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</si>
  <si>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</si>
  <si>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</si>
  <si>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</si>
  <si>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</si>
  <si>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</si>
  <si>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</si>
  <si>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</si>
  <si>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</si>
  <si>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</si>
  <si>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</si>
  <si>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</si>
  <si>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</si>
  <si>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</si>
  <si>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</si>
  <si>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</si>
  <si>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</si>
  <si>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</si>
  <si>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</si>
  <si>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</si>
  <si>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</si>
  <si>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</si>
  <si>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</si>
  <si>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</si>
  <si>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</si>
  <si>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</si>
  <si>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</si>
  <si>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</si>
  <si>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</si>
  <si>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</si>
  <si>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</si>
  <si>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</si>
  <si>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</si>
  <si>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</si>
  <si>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</si>
  <si>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</si>
  <si>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</si>
  <si>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</si>
  <si>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</si>
  <si>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</si>
  <si>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</si>
  <si>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</si>
  <si>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</si>
  <si>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</si>
  <si>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</si>
  <si>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</si>
  <si>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</si>
  <si>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</si>
  <si>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</si>
  <si>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</si>
  <si>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</si>
  <si>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</si>
  <si>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</si>
  <si>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</si>
  <si>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</si>
  <si>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</si>
  <si>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</si>
  <si>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</si>
  <si>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</si>
  <si>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</si>
  <si>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</si>
  <si>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</si>
  <si>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</si>
  <si>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</si>
  <si>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</si>
  <si>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</si>
  <si>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</si>
  <si>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</si>
  <si>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</si>
  <si>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</si>
  <si>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</si>
  <si>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</si>
  <si>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</si>
  <si>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</si>
  <si>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</si>
  <si>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</si>
  <si>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</si>
  <si>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</si>
  <si>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</si>
  <si>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</si>
  <si>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</si>
  <si>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</si>
  <si>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</si>
  <si>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</si>
  <si>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</si>
  <si>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</si>
  <si>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</si>
  <si>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</si>
  <si>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</si>
  <si>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</si>
  <si>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</si>
  <si>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</si>
  <si>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</si>
  <si>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</si>
  <si>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</si>
  <si>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</si>
  <si>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</si>
  <si>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</si>
  <si>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</si>
  <si>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</si>
  <si>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</si>
  <si>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</si>
  <si>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</si>
  <si>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</si>
  <si>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</si>
  <si>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</si>
  <si>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</si>
  <si>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</si>
  <si>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</si>
  <si>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</si>
  <si>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</si>
  <si>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</si>
  <si>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</si>
  <si>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</si>
  <si>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</si>
  <si>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</si>
  <si>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</si>
  <si>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</si>
  <si>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</si>
  <si>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</si>
  <si>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</si>
  <si>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</si>
  <si>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</si>
  <si>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</si>
  <si>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</si>
  <si>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</si>
  <si>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</si>
  <si>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</si>
  <si>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</si>
  <si>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</si>
  <si>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</si>
  <si>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</si>
  <si>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</si>
  <si>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</si>
  <si>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</si>
  <si>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</si>
  <si>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</si>
  <si>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</si>
  <si>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</si>
  <si>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</si>
  <si>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</si>
  <si>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</si>
  <si>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</si>
  <si>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</si>
  <si>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</si>
  <si>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</si>
  <si>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</si>
  <si>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</si>
  <si>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</si>
  <si>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</si>
  <si>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</si>
  <si>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</si>
  <si>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</si>
  <si>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</si>
  <si>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</si>
  <si>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</si>
  <si>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</si>
  <si>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</si>
  <si>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</si>
  <si>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</si>
  <si>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</si>
  <si>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</si>
  <si>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</si>
  <si>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</si>
  <si>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</si>
  <si>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</si>
  <si>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</si>
  <si>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</si>
  <si>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</si>
  <si>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</si>
  <si>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</si>
  <si>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</si>
  <si>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</si>
  <si>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</si>
  <si>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</si>
  <si>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</si>
  <si>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</si>
  <si>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</si>
  <si>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</si>
  <si>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</si>
  <si>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</si>
  <si>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</si>
  <si>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</si>
  <si>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</si>
  <si>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</si>
  <si>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</si>
  <si>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</si>
  <si>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</si>
  <si>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</si>
  <si>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</si>
  <si>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</si>
  <si>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</si>
  <si>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</si>
  <si>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</si>
  <si>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</si>
  <si>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</si>
  <si>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</si>
  <si>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</si>
  <si>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</si>
  <si>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</si>
  <si>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</si>
  <si>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</si>
  <si>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</si>
  <si>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</si>
  <si>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</si>
  <si>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</si>
  <si>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</si>
  <si>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</si>
  <si>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</si>
  <si>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</si>
  <si>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</si>
  <si>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</si>
  <si>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</si>
  <si>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</si>
  <si>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</si>
  <si>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</si>
  <si>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</si>
  <si>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</si>
  <si>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</si>
  <si>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</si>
  <si>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</si>
  <si>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</si>
  <si>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</si>
  <si>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</si>
  <si>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</si>
  <si>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</si>
  <si>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</si>
  <si>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</si>
  <si>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</si>
  <si>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</si>
  <si>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</si>
  <si>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</si>
  <si>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</si>
  <si>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</si>
  <si>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</si>
  <si>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</si>
  <si>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</si>
  <si>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</si>
  <si>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</si>
  <si>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</si>
  <si>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</si>
  <si>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</si>
  <si>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</si>
  <si>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</si>
  <si>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</si>
  <si>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</si>
  <si>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</si>
  <si>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</si>
  <si>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</si>
  <si>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</si>
  <si>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</si>
  <si>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</si>
  <si>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</si>
  <si>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</si>
  <si>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</si>
  <si>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</si>
  <si>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</si>
  <si>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</si>
  <si>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</si>
  <si>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</si>
  <si>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</si>
  <si>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</si>
  <si>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</si>
  <si>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</si>
  <si>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</si>
  <si>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</si>
  <si>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</si>
  <si>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</si>
  <si>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</si>
  <si>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</si>
  <si>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</si>
  <si>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</si>
  <si>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</si>
  <si>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</si>
  <si>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</si>
  <si>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</si>
  <si>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</si>
  <si>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</si>
  <si>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</si>
  <si>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</si>
  <si>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</si>
  <si>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</si>
  <si>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</si>
  <si>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</si>
  <si>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</si>
  <si>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</si>
  <si>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</si>
  <si>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</si>
  <si>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</si>
  <si>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</si>
  <si>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</si>
  <si>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</si>
  <si>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</si>
  <si>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</si>
  <si>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</si>
  <si>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</si>
  <si>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</si>
  <si>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</si>
  <si>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</si>
  <si>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</si>
  <si>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</si>
  <si>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</si>
  <si>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</si>
  <si>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</si>
  <si>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</si>
  <si>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</si>
  <si>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</si>
  <si>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</si>
  <si>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</si>
  <si>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</si>
  <si>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</si>
  <si>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</si>
  <si>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</si>
  <si>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</si>
  <si>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</si>
  <si>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</si>
  <si>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</si>
  <si>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</si>
  <si>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</si>
  <si>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</si>
  <si>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</si>
  <si>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</si>
  <si>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</si>
  <si>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</si>
  <si>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</si>
  <si>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</si>
  <si>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</si>
  <si>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</si>
  <si>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</si>
  <si>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</si>
  <si>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</si>
  <si>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</si>
  <si>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</si>
  <si>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</si>
  <si>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</si>
  <si>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</si>
  <si>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</si>
  <si>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</si>
  <si>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</si>
  <si>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</si>
  <si>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</si>
  <si>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</si>
  <si>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</si>
  <si>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</si>
  <si>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</si>
  <si>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</si>
  <si>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</si>
  <si>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</si>
  <si>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</si>
  <si>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</si>
  <si>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</si>
  <si>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</si>
  <si>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</si>
  <si>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</si>
  <si>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</si>
  <si>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</si>
  <si>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</si>
  <si>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</si>
  <si>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</si>
  <si>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</si>
  <si>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</si>
  <si>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</si>
  <si>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</si>
  <si>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</si>
  <si>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</si>
  <si>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</si>
  <si>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</si>
  <si>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</si>
  <si>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</si>
  <si>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</si>
  <si>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</si>
  <si>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</si>
  <si>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</si>
  <si>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</si>
  <si>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</si>
  <si>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</si>
  <si>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</si>
  <si>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</si>
  <si>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</si>
  <si>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</si>
  <si>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</si>
  <si>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</si>
  <si>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</si>
  <si>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</si>
  <si>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</si>
  <si>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</si>
  <si>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</si>
  <si>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</si>
  <si>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</si>
  <si>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</si>
  <si>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</si>
  <si>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</si>
  <si>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</si>
  <si>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</si>
  <si>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</si>
  <si>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</si>
  <si>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</si>
  <si>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</si>
  <si>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</si>
  <si>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</si>
  <si>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</si>
  <si>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</si>
  <si>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</si>
  <si>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</si>
  <si>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</si>
  <si>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</si>
  <si>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</si>
  <si>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</si>
  <si>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</si>
  <si>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</si>
  <si>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</si>
  <si>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</si>
  <si>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</si>
  <si>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</si>
  <si>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</si>
  <si>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</si>
  <si>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</si>
  <si>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</si>
  <si>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</si>
  <si>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</si>
  <si>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</si>
  <si>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</si>
  <si>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</si>
  <si>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</si>
  <si>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</si>
  <si>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</si>
  <si>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</si>
  <si>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</si>
  <si>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</si>
  <si>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</si>
  <si>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</si>
  <si>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</si>
  <si>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</si>
  <si>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</si>
  <si>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</si>
  <si>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</si>
  <si>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</si>
  <si>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</si>
  <si>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</si>
  <si>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</si>
  <si>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</si>
  <si>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</si>
  <si>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</si>
  <si>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</si>
  <si>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</si>
  <si>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</si>
  <si>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</si>
  <si>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</si>
  <si>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</si>
  <si>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</si>
  <si>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</si>
  <si>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</si>
  <si>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</si>
  <si>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</si>
  <si>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</si>
  <si>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</si>
  <si>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</si>
  <si>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</si>
  <si>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</si>
  <si>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</si>
  <si>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</si>
  <si>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</si>
  <si>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</si>
  <si>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</si>
  <si>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</si>
  <si>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</si>
  <si>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</si>
  <si>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</si>
  <si>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</si>
  <si>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</si>
  <si>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</si>
  <si>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</si>
  <si>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</si>
  <si>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</si>
  <si>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</si>
  <si>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</si>
  <si>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</si>
  <si>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</si>
  <si>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</si>
  <si>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</si>
  <si>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</si>
  <si>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</si>
  <si>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</si>
  <si>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</si>
  <si>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</si>
  <si>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</si>
  <si>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</si>
  <si>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</si>
  <si>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</si>
  <si>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</si>
  <si>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</si>
  <si>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</si>
  <si>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</si>
  <si>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</si>
  <si>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</si>
  <si>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</si>
  <si>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</si>
  <si>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</si>
  <si>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</si>
  <si>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</si>
  <si>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</si>
  <si>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</si>
  <si>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</si>
  <si>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</si>
  <si>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</si>
  <si>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</si>
  <si>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</si>
  <si>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</si>
  <si>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</si>
  <si>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</si>
  <si>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</si>
  <si>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</si>
  <si>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</si>
  <si>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</si>
  <si>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</si>
  <si>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</si>
  <si>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</si>
  <si>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</si>
  <si>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</si>
  <si>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</si>
  <si>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</si>
  <si>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</si>
  <si>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</si>
  <si>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</si>
  <si>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</si>
  <si>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</si>
  <si>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</si>
  <si>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</si>
  <si>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</si>
  <si>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</si>
  <si>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</si>
  <si>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</si>
  <si>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</si>
  <si>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</si>
  <si>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</si>
  <si>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</si>
  <si>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</si>
  <si>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</si>
  <si>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</si>
  <si>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</si>
  <si>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</si>
  <si>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</si>
  <si>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</si>
  <si>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</si>
  <si>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</si>
  <si>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</si>
  <si>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</si>
  <si>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</si>
  <si>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</si>
  <si>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</si>
  <si>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</si>
  <si>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</si>
  <si>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</si>
  <si>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</si>
  <si>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</si>
  <si>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</si>
  <si>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</si>
  <si>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</si>
  <si>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</si>
  <si>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</si>
  <si>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</si>
  <si>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</si>
  <si>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</si>
  <si>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</si>
  <si>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</si>
  <si>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</si>
  <si>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</si>
  <si>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</si>
  <si>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</si>
  <si>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</si>
  <si>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</si>
  <si>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</si>
  <si>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</si>
  <si>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</si>
  <si>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</si>
  <si>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</si>
  <si>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</si>
  <si>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</si>
  <si>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</si>
  <si>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</si>
  <si>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</si>
  <si>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</si>
  <si>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</si>
  <si>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</si>
  <si>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</si>
  <si>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</si>
  <si>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</si>
  <si>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</si>
  <si>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</si>
  <si>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</si>
  <si>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</si>
  <si>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</si>
  <si>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</si>
  <si>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</si>
  <si>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</si>
  <si>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</si>
  <si>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</si>
  <si>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</si>
  <si>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</si>
  <si>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</si>
  <si>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</si>
  <si>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</si>
  <si>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</si>
  <si>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</si>
  <si>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</si>
  <si>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</si>
  <si>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</si>
  <si>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</si>
  <si>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</si>
  <si>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</si>
  <si>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</si>
  <si>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</si>
  <si>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</si>
  <si>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</si>
  <si>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</si>
  <si>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</si>
  <si>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</si>
  <si>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</si>
  <si>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</si>
  <si>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</si>
  <si>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</si>
  <si>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</si>
  <si>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</si>
  <si>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</si>
  <si>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</si>
  <si>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</si>
  <si>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</si>
  <si>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</si>
  <si>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</si>
  <si>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</si>
  <si>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</si>
  <si>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</si>
  <si>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</si>
  <si>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</si>
  <si>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</si>
  <si>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</si>
  <si>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</si>
  <si>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</si>
  <si>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</si>
  <si>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</si>
  <si>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</si>
  <si>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</si>
  <si>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</si>
  <si>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</si>
  <si>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</si>
  <si>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</si>
  <si>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</si>
  <si>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</si>
  <si>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</si>
  <si>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</si>
  <si>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</si>
  <si>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</si>
  <si>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</si>
  <si>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</si>
  <si>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</si>
  <si>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</si>
  <si>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</si>
  <si>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</si>
  <si>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</si>
  <si>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</si>
  <si>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</si>
  <si>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</si>
  <si>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</si>
  <si>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</si>
  <si>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</si>
  <si>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</si>
  <si>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</si>
  <si>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</si>
  <si>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</si>
  <si>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</si>
  <si>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</si>
  <si>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</si>
  <si>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</si>
  <si>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</si>
  <si>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</si>
  <si>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</si>
  <si>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</si>
  <si>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</si>
  <si>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</si>
  <si>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</si>
  <si>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</si>
  <si>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</si>
  <si>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</si>
  <si>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</si>
  <si>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</si>
  <si>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</si>
  <si>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</si>
  <si>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</si>
  <si>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</si>
  <si>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</si>
  <si>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</si>
  <si>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</si>
  <si>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</si>
  <si>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</si>
  <si>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</si>
  <si>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</si>
  <si>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</si>
  <si>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</si>
  <si>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</si>
  <si>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</si>
  <si>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</si>
  <si>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</si>
  <si>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</si>
  <si>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</si>
  <si>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</si>
  <si>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</si>
  <si>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</si>
  <si>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</si>
  <si>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</si>
  <si>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</si>
  <si>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</si>
  <si>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</si>
  <si>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</si>
  <si>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</si>
  <si>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</si>
  <si>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</si>
  <si>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</si>
  <si>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</si>
  <si>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</si>
  <si>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</si>
  <si>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</si>
  <si>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</si>
  <si>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</si>
  <si>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</si>
  <si>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</si>
  <si>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</si>
  <si>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</si>
  <si>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</si>
  <si>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</si>
  <si>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</si>
  <si>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</si>
  <si>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</si>
  <si>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</si>
  <si>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</si>
  <si>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</si>
  <si>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</si>
  <si>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</si>
  <si>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</si>
  <si>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</si>
  <si>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</si>
  <si>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</si>
  <si>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</si>
  <si>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</si>
  <si>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</si>
  <si>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</si>
  <si>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</si>
  <si>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</si>
  <si>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</si>
  <si>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</si>
  <si>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</si>
  <si>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</si>
  <si>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</si>
  <si>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</si>
  <si>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</si>
  <si>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</si>
  <si>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</si>
  <si>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</si>
  <si>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</si>
  <si>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</si>
  <si>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</si>
  <si>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</si>
  <si>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</si>
  <si>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</si>
  <si>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</si>
  <si>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</si>
  <si>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</si>
  <si>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</si>
  <si>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</si>
  <si>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</si>
  <si>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</si>
  <si>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</si>
  <si>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</si>
  <si>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</si>
  <si>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</si>
  <si>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</si>
  <si>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</si>
  <si>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</si>
  <si>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</si>
  <si>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</si>
  <si>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</si>
  <si>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</si>
  <si>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</si>
  <si>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</si>
  <si>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</si>
  <si>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</si>
  <si>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</si>
  <si>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</si>
  <si>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</si>
  <si>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</si>
  <si>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</si>
  <si>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</si>
  <si>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</si>
  <si>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</si>
  <si>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</si>
  <si>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</si>
  <si>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</si>
  <si>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</si>
  <si>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</si>
  <si>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</si>
  <si>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</si>
  <si>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</si>
  <si>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</si>
  <si>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</si>
  <si>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</si>
  <si>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</si>
  <si>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</si>
  <si>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</si>
  <si>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</si>
  <si>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</si>
  <si>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</si>
  <si>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</si>
  <si>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</si>
  <si>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</si>
  <si>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</si>
  <si>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</si>
  <si>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</si>
  <si>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</si>
  <si>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</si>
  <si>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</si>
  <si>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</si>
  <si>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</si>
  <si>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</si>
  <si>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</si>
  <si>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</si>
  <si>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</si>
  <si>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</si>
  <si>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</si>
  <si>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</si>
  <si>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</si>
  <si>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</si>
  <si>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</si>
  <si>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</si>
  <si>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</si>
  <si>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</si>
  <si>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</si>
  <si>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</si>
  <si>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</si>
  <si>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</si>
  <si>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</si>
  <si>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</si>
  <si>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</si>
  <si>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</si>
  <si>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</si>
  <si>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</si>
  <si>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</si>
  <si>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</si>
  <si>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</si>
  <si>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</si>
  <si>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</si>
  <si>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</si>
  <si>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</si>
  <si>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</si>
  <si>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</si>
  <si>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</si>
  <si>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</si>
  <si>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</si>
  <si>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</si>
  <si>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</si>
  <si>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</si>
  <si>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</si>
  <si>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</si>
  <si>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</si>
  <si>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</si>
  <si>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</si>
  <si>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</si>
  <si>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</si>
  <si>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</si>
  <si>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</si>
  <si>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</si>
  <si>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</si>
  <si>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</si>
  <si>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</si>
  <si>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</si>
  <si>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</si>
  <si>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</si>
  <si>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</si>
  <si>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</si>
  <si>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</si>
  <si>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</si>
  <si>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</si>
  <si>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</si>
  <si>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</si>
  <si>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</si>
  <si>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</si>
  <si>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</si>
  <si>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</si>
  <si>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</si>
  <si>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</si>
  <si>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</si>
  <si>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</si>
  <si>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</si>
  <si>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</si>
  <si>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</si>
  <si>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</si>
  <si>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</si>
  <si>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</si>
  <si>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</si>
  <si>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</si>
  <si>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</si>
  <si>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</si>
  <si>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</si>
  <si>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</si>
  <si>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</si>
  <si>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</si>
  <si>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</si>
  <si>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</si>
  <si>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</si>
  <si>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</si>
  <si>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</si>
  <si>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</si>
  <si>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</si>
  <si>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</si>
  <si>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</si>
  <si>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</si>
  <si>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</si>
  <si>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</si>
  <si>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</si>
  <si>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</si>
  <si>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</si>
  <si>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</si>
  <si>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</si>
  <si>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</si>
  <si>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</si>
  <si>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</si>
  <si>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</si>
  <si>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</si>
  <si>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</si>
  <si>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</si>
  <si>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</si>
  <si>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</si>
  <si>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</si>
  <si>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</si>
  <si>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</si>
  <si>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</si>
  <si>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</si>
  <si>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</si>
  <si>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</si>
  <si>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</si>
  <si>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</si>
  <si>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</si>
  <si>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</si>
  <si>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</si>
  <si>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</si>
  <si>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</si>
  <si>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</si>
  <si>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</si>
  <si>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</si>
  <si>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</si>
  <si>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</si>
  <si>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</si>
  <si>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</si>
  <si>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</si>
  <si>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</si>
  <si>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</si>
  <si>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</si>
  <si>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</si>
  <si>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</si>
  <si>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</si>
  <si>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</si>
  <si>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</si>
  <si>
    <t>inConBed1</t>
  </si>
  <si>
    <t>testVal</t>
  </si>
  <si>
    <t>heightCol</t>
  </si>
  <si>
    <t>radInCol</t>
  </si>
  <si>
    <t>radOutCol</t>
  </si>
  <si>
    <t>testVal_1</t>
  </si>
  <si>
    <t>voidFracBed</t>
  </si>
  <si>
    <t>massAds</t>
  </si>
  <si>
    <t>testVal_2</t>
  </si>
  <si>
    <t>presColHigh</t>
  </si>
  <si>
    <t>presColHighSet</t>
  </si>
  <si>
    <t>presColHighFull</t>
  </si>
  <si>
    <t>presColLow</t>
  </si>
  <si>
    <t>presColLowSet</t>
  </si>
  <si>
    <t>presColLowFull</t>
  </si>
  <si>
    <t>tempCol</t>
  </si>
  <si>
    <t>testVal_3</t>
  </si>
  <si>
    <t>htTrCoInCol</t>
  </si>
  <si>
    <t>htTrCoOutCol</t>
  </si>
  <si>
    <t>waDensCol</t>
  </si>
  <si>
    <t>htCapCol</t>
  </si>
  <si>
    <t>testVal_4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</si>
</sst>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66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11" fillId="5" borderId="6" xfId="0" applyFont="true" applyFill="true" applyBorder="true" applyAlignment="true">
      <alignment horizontal="left" vertical="center"/>
    </xf>
    <xf numFmtId="0" fontId="9" fillId="5" borderId="7" xfId="0" applyFont="true" applyFill="true" applyBorder="true" applyAlignment="true">
      <alignment horizontal="center" vertical="center"/>
    </xf>
    <xf numFmtId="0" fontId="11" fillId="5" borderId="8" xfId="0" applyFont="true" applyFill="true" applyBorder="true" applyAlignment="true">
      <alignment horizontal="right" vertical="center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7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14" fillId="5" borderId="0" xfId="2" applyFont="true" applyFill="true" applyAlignment="true" applyProtection="true">
      <alignment horizontal="right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0" fontId="4" fillId="4" borderId="0" xfId="0" applyFont="true" applyFill="true" applyAlignment="true">
      <alignment horizontal="left" vertical="center"/>
    </xf>
    <xf numFmtId="0" fontId="6" fillId="3" borderId="1" xfId="1" applyFont="true" applyFill="true" applyBorder="true" applyAlignment="true">
      <alignment horizontal="center" vertical="center" wrapText="true"/>
    </xf>
    <xf numFmtId="0" fontId="4" fillId="3" borderId="7" xfId="0" applyFont="true" applyFill="true" applyBorder="true" applyAlignment="true">
      <alignment horizontal="center" vertical="center"/>
    </xf>
    <xf numFmtId="0" fontId="12" fillId="5" borderId="0" xfId="1" applyFont="true" applyFill="true" applyAlignment="true">
      <alignment horizontal="left" vertical="center"/>
    </xf>
    <xf numFmtId="0" fontId="4" fillId="0" borderId="0" xfId="0" applyFont="true" applyAlignment="true">
      <alignment vertical="center"/>
    </xf>
    <xf numFmtId="0" fontId="4" fillId="3" borderId="3" xfId="0" applyFont="true" applyFill="true" applyBorder="true" applyAlignment="true">
      <alignment vertical="center"/>
    </xf>
    <xf numFmtId="0" fontId="4" fillId="3" borderId="0" xfId="0" applyFont="true" applyFill="true" applyAlignment="true">
      <alignment vertical="center"/>
    </xf>
    <xf numFmtId="0" fontId="7" fillId="3" borderId="0" xfId="0" applyFont="true" applyFill="true" applyAlignment="true">
      <alignment vertical="center"/>
    </xf>
    <xf numFmtId="0" fontId="4" fillId="6" borderId="6" xfId="0" applyFont="true" applyFill="true" applyBorder="true" applyAlignment="true">
      <alignment horizontal="center" vertical="center"/>
    </xf>
    <xf numFmtId="0" fontId="4" fillId="6" borderId="1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6" xfId="0" applyFont="true" applyFill="true" applyBorder="true" applyAlignment="true">
      <alignment horizontal="center" vertical="center"/>
    </xf>
    <xf numFmtId="0" fontId="6" fillId="4" borderId="7" xfId="0" applyFont="true" applyFill="true" applyBorder="true" applyAlignment="true">
      <alignment horizontal="center" vertical="center"/>
    </xf>
    <xf numFmtId="0" fontId="6" fillId="4" borderId="8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0" fontId="7" fillId="4" borderId="6" xfId="0" applyFont="true" applyFill="true" applyBorder="true" applyAlignment="true">
      <alignment horizontal="left" vertical="center"/>
    </xf>
    <xf numFmtId="0" fontId="7" fillId="4" borderId="7" xfId="0" applyFont="true" applyFill="true" applyBorder="true" applyAlignment="true">
      <alignment horizontal="left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externalLinks/externalLink2.xml" Type="http://schemas.openxmlformats.org/officeDocument/2006/relationships/externalLink" Id="rId13"/><Relationship Target="persons/person.xml" Type="http://schemas.microsoft.com/office/2017/10/relationships/person" Id="rId18"/><Relationship Target="worksheets/sheet3.xml" Type="http://schemas.openxmlformats.org/officeDocument/2006/relationships/worksheet" Id="rId3"/><Relationship Target="worksheets/sheet7.xml" Type="http://schemas.openxmlformats.org/officeDocument/2006/relationships/worksheet" Id="rId7"/><Relationship Target="externalLinks/externalLink1.xml" Type="http://schemas.openxmlformats.org/officeDocument/2006/relationships/externalLink" Id="rId12"/><Relationship Target="metadata.xml" Type="http://schemas.openxmlformats.org/officeDocument/2006/relationships/sheetMetadata" Id="rId17"/><Relationship Target="worksheets/sheet2.xml" Type="http://schemas.openxmlformats.org/officeDocument/2006/relationships/worksheet" Id="rId2"/><Relationship Target="sharedStrings.xml" Type="http://schemas.openxmlformats.org/officeDocument/2006/relationships/sharedStrings" Id="rId16"/><Relationship Target="vbaProject.bin" Type="http://schemas.microsoft.com/office/2006/relationships/vbaProject" Id="rId20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styles.xml" Type="http://schemas.openxmlformats.org/officeDocument/2006/relationships/styles" Id="rId15"/><Relationship Target="worksheets/sheet10.xml" Type="http://schemas.openxmlformats.org/officeDocument/2006/relationships/worksheet" Id="rId10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theme/theme1.xml" Type="http://schemas.openxmlformats.org/officeDocument/2006/relationships/theme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xmlns:a16="http://schemas.microsoft.com/office/drawing/2014/main"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file:///C:\Users\vikto\OneDrive\Dokumentumok\MATLAB\toPSAil\4_example\case_study_1.5\1_simulation_inputs\4.1_cycle_organization.xlsm" Type="http://schemas.openxmlformats.org/officeDocument/2006/relationships/externalLinkPath" Id="rId2"/><Relationship TargetMode="External" Target="4.1_cycle_organization.xlsm" Type="http://schemas.openxmlformats.org/officeDocument/2006/relationships/externalLinkPath" Id="rId1"/></Relationships>
</file>

<file path=xl/externalLinks/_rels/externalLink2.xml.rels><?xml version="1.0" encoding="UTF-8"?><Relationships xmlns="http://schemas.openxmlformats.org/package/2006/relationships"><Relationship TargetMode="External" Target="file:///C:\Users\vikto\OneDrive\Dokumentumok\MATLAB\toPSAil\4_example\case_study_1.5\1_simulation_inputs\0.1_simulation_configurations.xlsm" Type="http://schemas.openxmlformats.org/officeDocument/2006/relationships/externalLinkPath" Id="rId2"/><Relationship TargetMode="External" Target="0.1_simulation_configuration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23672" displayName="Table11023672" ref="A8:J10" totalsRowShown="false" headerRowDxfId="97" dataDxfId="95" headerRowBorderDxfId="96" tableBorderDxfId="94" totalsRowBorderDxfId="93" mc:Ignorable="xr xr3" xr:uid="{6368CC79-772E-9B4B-8FA4-75F79F61FAB4}">
  <autoFilter ref="A8:J10" xr:uid="{B089C5C3-2CCE-4800-96CA-2131BB6E3E4F}"/>
  <tableColumns count="10">
    <tableColumn id="1" name="Variable" dataDxfId="92" xr3:uid="{01DA0223-22CE-CB4E-9C47-1047FC8A078F}"/>
    <tableColumn id="4" name="Value" dataDxfId="91" xr3:uid="{110051F6-3772-A341-9694-7D507809966D}"/>
    <tableColumn id="5" name="Unit" dataDxfId="90" xr3:uid="{28A9A765-BB6C-1F4D-B83A-3F0DF09B60A5}"/>
    <tableColumn id="6" name="Comparisons" dataDxfId="89" xr3:uid="{D749D5D3-E113-0E44-ADF2-A62ECDA49D26}"/>
    <tableColumn id="7" name="Variable Type" dataDxfId="88" xr3:uid="{5E3ABE4C-42C0-D042-94C1-90F16FB3EE78}"/>
    <tableColumn id="8" name="Dependency" dataDxfId="87" xr3:uid="{7A3DFEE5-7571-1D4F-82D9-2EA2D749032E}"/>
    <tableColumn id="12" name="Test 1" dataDxfId="86" xr3:uid="{2812E4DB-5B84-3049-9318-1F1305A00F4E}"/>
    <tableColumn id="10" name="Test 2" dataDxfId="85" xr3:uid="{76346A87-EAD5-A449-81A6-627159FF804B}"/>
    <tableColumn id="2" name="Test 3" dataDxfId="84" xr3:uid="{FCB7C8A7-1F69-8D4F-9A22-DEFF7CE28A77}"/>
    <tableColumn id="9" name="Description" dataDxfId="83" xr3:uid="{5FBD1044-5112-184F-873E-D3AF026E12E8}"/>
  </tableColumns>
  <tableStyleInfo name="TableStyleMedium2" showFirstColumn="false" showLastColumn="false" showRowStripes="true" showColumnStripes="false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2" name="Table110236723" displayName="Table110236723" ref="A8:J12" totalsRowShown="false" headerRowDxfId="77" dataDxfId="75" headerRowBorderDxfId="76" tableBorderDxfId="74" totalsRowBorderDxfId="73" mc:Ignorable="xr xr3" xr:uid="{14A550B7-AAAB-7940-9EB4-B6B92BD58945}">
  <autoFilter ref="A8:J12" xr:uid="{B089C5C3-2CCE-4800-96CA-2131BB6E3E4F}"/>
  <tableColumns count="10">
    <tableColumn id="1" name="Variable" dataDxfId="72" xr3:uid="{EB070D1A-267D-FC4E-86FA-AB6400FB112F}"/>
    <tableColumn id="4" name="Value" dataDxfId="71" xr3:uid="{6BA1C583-FB05-7A40-9383-4EE3D7EBB5A6}"/>
    <tableColumn id="5" name="Unit" dataDxfId="70" xr3:uid="{8E37F76F-9A12-F34E-9CC2-95A754375792}"/>
    <tableColumn id="6" name="Comparisons" dataDxfId="69" xr3:uid="{7D44E20B-F716-7A42-A266-3EC48E78C0BB}"/>
    <tableColumn id="7" name="Variable Type" dataDxfId="68" xr3:uid="{ED87C482-6AF6-F24B-ADC4-B7D1E2FA62B5}"/>
    <tableColumn id="8" name="Dependency" dataDxfId="67" xr3:uid="{AF4C12D0-D409-4C40-A0CB-670FFF5D7D14}"/>
    <tableColumn id="12" name="Test 1" dataDxfId="66" xr3:uid="{E4463107-7A12-8843-AA11-7F3315B04820}"/>
    <tableColumn id="10" name="Test 2" dataDxfId="65" xr3:uid="{952C86A5-160A-6B44-92F4-DA9050108B20}"/>
    <tableColumn id="2" name="Test 3" dataDxfId="64" xr3:uid="{94373CB7-B657-BC41-A812-5EE2BC744030}"/>
    <tableColumn id="9" name="Description" dataDxfId="63" xr3:uid="{CCDF193B-8D61-CC44-8377-03024848C399}"/>
  </tableColumns>
  <tableStyleInfo name="TableStyleMedium2" showFirstColumn="false" showLastColumn="false" showRowStripes="true" showColumnStripes="false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3" name="Table1102367234" displayName="Table1102367234" ref="A8:J11" totalsRowShown="false" headerRowDxfId="54" dataDxfId="52" headerRowBorderDxfId="53" tableBorderDxfId="51" totalsRowBorderDxfId="50" mc:Ignorable="xr xr3" xr:uid="{C3ABCB16-E997-2348-AC98-9388583A8142}">
  <autoFilter ref="A8:J11" xr:uid="{B089C5C3-2CCE-4800-96CA-2131BB6E3E4F}"/>
  <tableColumns count="10">
    <tableColumn id="1" name="Variable" dataDxfId="49" xr3:uid="{732501C0-E026-284D-B155-9A33B2B17600}"/>
    <tableColumn id="4" name="Value" dataDxfId="48" xr3:uid="{CB111A13-20F0-9247-A014-A93122AA9E1C}"/>
    <tableColumn id="5" name="Unit" dataDxfId="47" xr3:uid="{ED2D8929-C2F5-374F-B8C9-4B3472CD90F4}"/>
    <tableColumn id="6" name="Comparisons" dataDxfId="46" xr3:uid="{198489CA-F45F-7646-81E3-E760607C7908}"/>
    <tableColumn id="7" name="Variable Type" dataDxfId="45" xr3:uid="{DD70562F-3B71-254A-8B18-3EE4CB0322EF}"/>
    <tableColumn id="8" name="Dependency" dataDxfId="44" xr3:uid="{E9A76945-4B8A-2D47-866C-77B1639DE62B}"/>
    <tableColumn id="12" name="Test 1" dataDxfId="43" xr3:uid="{F70FC7F1-1958-E74C-846F-D01FE0A82638}"/>
    <tableColumn id="10" name="Test 2" dataDxfId="42" xr3:uid="{62D2D5D5-C9D1-BE42-8772-B460D2095377}"/>
    <tableColumn id="2" name="Test 3" dataDxfId="41" xr3:uid="{B86B77BE-9293-DC45-96B3-E49A6C6240F0}"/>
    <tableColumn id="9" name="Description" dataDxfId="40" xr3:uid="{1526814F-49FB-AA4E-B917-7CCB80188409}"/>
  </tableColumns>
  <tableStyleInfo name="TableStyleMedium2" showFirstColumn="false" showLastColumn="false" showRowStripes="true" showColumnStripes="false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6" name="Table1102367" displayName="Table1102367" ref="A8:J16" totalsRowShown="false" headerRowDxfId="34" dataDxfId="32" headerRowBorderDxfId="33" tableBorderDxfId="31" totalsRowBorderDxfId="30" mc:Ignorable="xr xr3" xr:uid="{7894ECB6-9F45-4D66-AD52-F927EECFDE0D}">
  <autoFilter ref="A8:J16" xr:uid="{B089C5C3-2CCE-4800-96CA-2131BB6E3E4F}"/>
  <tableColumns count="10">
    <tableColumn id="1" name="Variable" dataDxfId="29" xr3:uid="{649A7866-80DF-41E6-B30C-D79515D3A794}"/>
    <tableColumn id="4" name="Value" dataDxfId="28" xr3:uid="{1B7C9099-8547-4DD7-A9E2-B725774B3278}"/>
    <tableColumn id="5" name="Unit" dataDxfId="27" xr3:uid="{DE8E51CF-F39A-49BE-8ADB-006A27BF49D1}"/>
    <tableColumn id="6" name="Comparisons" dataDxfId="26" xr3:uid="{1E18E5A8-84AE-4BCE-A03C-6EB014B6C0A8}"/>
    <tableColumn id="7" name="Variable Type" dataDxfId="25" xr3:uid="{27BDE7AA-390E-4E0E-B228-55927BB9787E}"/>
    <tableColumn id="8" name="Dependency" dataDxfId="24" xr3:uid="{01F08440-7AF0-4C09-89BF-A8CA2A509379}"/>
    <tableColumn id="12" name="Test 1" dataDxfId="23" xr3:uid="{A8F75C8D-4415-418C-8B4C-053532C2C537}"/>
    <tableColumn id="10" name="Test 2" dataDxfId="22" xr3:uid="{C8785F39-41F6-4DF0-A4EE-89820B845800}"/>
    <tableColumn id="2" name="Test 3" dataDxfId="21" xr3:uid="{FEF9A6BC-BB9A-4929-BA3A-474EB9BB7CF1}"/>
    <tableColumn id="9" name="Description" dataDxfId="20" xr3:uid="{99B9FDBF-9DA8-4356-865C-410432D0F6B7}"/>
  </tableColumns>
  <tableStyleInfo name="TableStyleMedium2" showFirstColumn="false" showLastColumn="false" showRowStripes="true" showColumnStripes="false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5" name="Table110236" displayName="Table110236" ref="A8:J13" totalsRowShown="false" headerRowDxfId="14" dataDxfId="12" headerRowBorderDxfId="13" tableBorderDxfId="11" totalsRowBorderDxfId="10" mc:Ignorable="xr xr3" xr:uid="{6AEC16BC-838A-4C23-9F2F-D1F820C1C119}">
  <autoFilter ref="A8:J13" xr:uid="{B089C5C3-2CCE-4800-96CA-2131BB6E3E4F}"/>
  <tableColumns count="10">
    <tableColumn id="1" name="Variable" dataDxfId="9" xr3:uid="{3E862B60-96F3-4457-8596-3DCA37BD39D6}"/>
    <tableColumn id="4" name="Value" dataDxfId="8" xr3:uid="{664B7B39-0A9C-4666-8675-DB2C0B5C05DC}"/>
    <tableColumn id="5" name="Unit" dataDxfId="7" xr3:uid="{0D5B0BC8-30B6-4778-A5F9-DAE48CF1B50B}"/>
    <tableColumn id="6" name="Comparisons" dataDxfId="6" xr3:uid="{EB5AFC2B-0570-478F-900A-245CE1E2ACC4}"/>
    <tableColumn id="7" name="Variable Type" dataDxfId="5" xr3:uid="{DD0B2A4A-5D8A-4AC0-8DD1-DDC1EE553BCC}"/>
    <tableColumn id="8" name="Dependency" dataDxfId="4" xr3:uid="{4715F5BD-270D-4CA4-A95C-8CF1A5273635}"/>
    <tableColumn id="12" name="Test 1" dataDxfId="3" xr3:uid="{5B091011-3849-4251-9869-40293301771A}"/>
    <tableColumn id="10" name="Test 2" dataDxfId="2" xr3:uid="{794FDB6F-AB9D-42B3-A19B-E1E54E1B62D6}"/>
    <tableColumn id="2" name="Test 3" dataDxfId="1" xr3:uid="{1750D95A-F5C8-483F-95EC-EDCC8913D886}"/>
    <tableColumn id="9" name="Description" dataDxfId="0" xr3:uid="{443478B3-66F2-447E-9CA5-5D827478F1B2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_rels/sheet4.xml.rels><?xml version="1.0" encoding="UTF-8"?><Relationships xmlns="http://schemas.openxmlformats.org/package/2006/relationships"><Relationship Target="../comments2.xml" Type="http://schemas.openxmlformats.org/officeDocument/2006/relationships/comments" Id="rId8"/><Relationship Target="../drawings/vmlDrawing2.vml" Type="http://schemas.openxmlformats.org/officeDocument/2006/relationships/vmlDrawing" Id="rId3"/><Relationship Target="../tables/table2.xml" Type="http://schemas.openxmlformats.org/officeDocument/2006/relationships/table" Id="rId7"/><Relationship Target="../drawings/drawing3.xml" Type="http://schemas.openxmlformats.org/officeDocument/2006/relationships/drawing" Id="rId2"/><Relationship Target="../printerSettings/printerSettings3.bin" Type="http://schemas.openxmlformats.org/officeDocument/2006/relationships/printerSettings" Id="rId1"/><Relationship Target="../ctrlProps/ctrlProp6.xml" Type="http://schemas.openxmlformats.org/officeDocument/2006/relationships/ctrlProp" Id="rId6"/><Relationship Target="../ctrlProps/ctrlProp5.xml" Type="http://schemas.openxmlformats.org/officeDocument/2006/relationships/ctrlProp" Id="rId5"/><Relationship Target="../ctrlProps/ctrlProp4.xml" Type="http://schemas.openxmlformats.org/officeDocument/2006/relationships/ctrlProp" Id="rId4"/><Relationship Target="../threadedComments/threadedComment2.xml" Type="http://schemas.microsoft.com/office/2017/10/relationships/threadedComment" Id="rId9"/></Relationships>
</file>

<file path=xl/worksheets/_rels/sheet5.xml.rels><?xml version="1.0" encoding="UTF-8"?><Relationships xmlns="http://schemas.openxmlformats.org/package/2006/relationships"><Relationship Target="../comments3.xml" Type="http://schemas.openxmlformats.org/officeDocument/2006/relationships/comments" Id="rId8"/><Relationship Target="../drawings/vmlDrawing3.vml" Type="http://schemas.openxmlformats.org/officeDocument/2006/relationships/vmlDrawing" Id="rId3"/><Relationship Target="../tables/table3.xml" Type="http://schemas.openxmlformats.org/officeDocument/2006/relationships/table" Id="rId7"/><Relationship Target="../drawings/drawing4.xml" Type="http://schemas.openxmlformats.org/officeDocument/2006/relationships/drawing" Id="rId2"/><Relationship Target="../printerSettings/printerSettings4.bin" Type="http://schemas.openxmlformats.org/officeDocument/2006/relationships/printerSettings" Id="rId1"/><Relationship Target="../ctrlProps/ctrlProp9.xml" Type="http://schemas.openxmlformats.org/officeDocument/2006/relationships/ctrlProp" Id="rId6"/><Relationship Target="../ctrlProps/ctrlProp8.xml" Type="http://schemas.openxmlformats.org/officeDocument/2006/relationships/ctrlProp" Id="rId5"/><Relationship Target="../ctrlProps/ctrlProp7.xml" Type="http://schemas.openxmlformats.org/officeDocument/2006/relationships/ctrlProp" Id="rId4"/><Relationship Target="../threadedComments/threadedComment3.xml" Type="http://schemas.microsoft.com/office/2017/10/relationships/threadedComment" Id="rId9"/></Relationships>
</file>

<file path=xl/worksheets/_rels/sheet6.xml.rels><?xml version="1.0" encoding="UTF-8"?><Relationships xmlns="http://schemas.openxmlformats.org/package/2006/relationships"><Relationship Target="../comments4.xml" Type="http://schemas.openxmlformats.org/officeDocument/2006/relationships/comments" Id="rId8"/><Relationship Target="../drawings/vmlDrawing4.vml" Type="http://schemas.openxmlformats.org/officeDocument/2006/relationships/vmlDrawing" Id="rId3"/><Relationship Target="../tables/table4.xml" Type="http://schemas.openxmlformats.org/officeDocument/2006/relationships/table" Id="rId7"/><Relationship Target="../drawings/drawing5.xml" Type="http://schemas.openxmlformats.org/officeDocument/2006/relationships/drawing" Id="rId2"/><Relationship Target="../printerSettings/printerSettings5.bin" Type="http://schemas.openxmlformats.org/officeDocument/2006/relationships/printerSettings" Id="rId1"/><Relationship Target="../ctrlProps/ctrlProp12.xml" Type="http://schemas.openxmlformats.org/officeDocument/2006/relationships/ctrlProp" Id="rId6"/><Relationship Target="../ctrlProps/ctrlProp11.xml" Type="http://schemas.openxmlformats.org/officeDocument/2006/relationships/ctrlProp" Id="rId5"/><Relationship Target="../ctrlProps/ctrlProp10.xml" Type="http://schemas.openxmlformats.org/officeDocument/2006/relationships/ctrlProp" Id="rId4"/><Relationship Target="../threadedComments/threadedComment4.xml" Type="http://schemas.microsoft.com/office/2017/10/relationships/threadedComment" Id="rId9"/></Relationships>
</file>

<file path=xl/worksheets/_rels/sheet7.xml.rels><?xml version="1.0" encoding="UTF-8"?><Relationships xmlns="http://schemas.openxmlformats.org/package/2006/relationships"><Relationship Target="../comments5.xml" Type="http://schemas.openxmlformats.org/officeDocument/2006/relationships/comments" Id="rId8"/><Relationship Target="../drawings/vmlDrawing5.vml" Type="http://schemas.openxmlformats.org/officeDocument/2006/relationships/vmlDrawing" Id="rId3"/><Relationship Target="../tables/table5.xml" Type="http://schemas.openxmlformats.org/officeDocument/2006/relationships/table" Id="rId7"/><Relationship Target="../drawings/drawing6.xml" Type="http://schemas.openxmlformats.org/officeDocument/2006/relationships/drawing" Id="rId2"/><Relationship Target="../printerSettings/printerSettings6.bin" Type="http://schemas.openxmlformats.org/officeDocument/2006/relationships/printerSettings" Id="rId1"/><Relationship Target="../ctrlProps/ctrlProp15.xml" Type="http://schemas.openxmlformats.org/officeDocument/2006/relationships/ctrlProp" Id="rId6"/><Relationship Target="../ctrlProps/ctrlProp14.xml" Type="http://schemas.openxmlformats.org/officeDocument/2006/relationships/ctrlProp" Id="rId5"/><Relationship Target="../ctrlProps/ctrlProp13.xml" Type="http://schemas.openxmlformats.org/officeDocument/2006/relationships/ctrlProp" Id="rId4"/><Relationship Target="../threadedComments/threadedComment5.xml" Type="http://schemas.microsoft.com/office/2017/10/relationships/threadedComment" Id="rId9"/></Relationships>
</file>

<file path=xl/worksheets/_rels/sheet8.xml.rels><?xml version="1.0" encoding="UTF-8"?><Relationships xmlns="http://schemas.openxmlformats.org/package/2006/relationships"><Relationship Target="../printerSettings/printerSettings7.bin" Type="http://schemas.openxmlformats.org/officeDocument/2006/relationships/printerSettings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E7" sqref="E7"/>
    </sheetView>
  </sheetViews>
  <sheetFormatPr defaultColWidth="0.0" defaultRowHeight="15" zeroHeight="true"/>
  <cols>
    <col min="1" max="2" width="3.28515625" style="35" hidden="true" customWidth="true"/>
    <col min="3" max="3" width="2.42578125" style="35" customWidth="true"/>
    <col min="4" max="4" width="13.7109375" style="35" customWidth="true"/>
    <col min="5" max="5" width="51.28515625" style="36" bestFit="true" customWidth="true"/>
    <col min="6" max="6" width="15.7109375" style="37" bestFit="true" customWidth="true"/>
    <col min="7" max="9" width="13.28515625" style="35" customWidth="true"/>
    <col min="10" max="10" width="48.7109375" style="35" customWidth="true"/>
    <col min="11" max="11" width="2.42578125" style="35" customWidth="true"/>
    <col min="12" max="12" width="0.0" style="35" hidden="true" customWidth="true"/>
    <col min="13" max="16384" width="9" style="35" hidden="true"/>
  </cols>
  <sheetData>
    <row r="3"/>
    <row r="4" ht="18.75">
      <c r="D4" s="49" t="s">
        <v>149</v>
      </c>
      <c r="E4" s="38"/>
      <c r="F4" s="39"/>
      <c r="G4" s="40"/>
      <c r="H4" s="40"/>
      <c r="I4" s="40"/>
      <c r="J4" s="41" t="s">
        <v>94</v>
      </c>
    </row>
    <row r="5" ht="35.25">
      <c r="D5" s="56" t="s">
        <v>41</v>
      </c>
      <c r="E5" s="56"/>
      <c r="F5" s="56"/>
      <c r="G5" s="56"/>
      <c r="H5" s="56"/>
      <c r="I5" s="56"/>
      <c r="J5" s="56"/>
    </row>
    <row r="6" ht="18.75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ht="56.25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ht="37.5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ht="18.75">
      <c r="D9" s="42">
        <v>3</v>
      </c>
      <c r="E9" s="43"/>
      <c r="F9" s="44"/>
      <c r="G9" s="42"/>
      <c r="H9" s="42"/>
      <c r="I9" s="42"/>
      <c r="J9" s="43"/>
    </row>
    <row r="10" ht="18.75">
      <c r="D10" s="42">
        <v>4</v>
      </c>
      <c r="E10" s="43"/>
      <c r="F10" s="44"/>
      <c r="G10" s="42"/>
      <c r="H10" s="42"/>
      <c r="I10" s="42"/>
      <c r="J10" s="43"/>
    </row>
    <row r="11" ht="18.75">
      <c r="D11" s="42">
        <v>5</v>
      </c>
      <c r="E11" s="43"/>
      <c r="F11" s="44"/>
      <c r="G11" s="42"/>
      <c r="H11" s="42"/>
      <c r="I11" s="42"/>
      <c r="J11" s="43"/>
    </row>
    <row r="12" ht="18.75">
      <c r="D12" s="42">
        <v>6</v>
      </c>
      <c r="E12" s="43"/>
      <c r="F12" s="44"/>
      <c r="G12" s="42"/>
      <c r="H12" s="42"/>
      <c r="I12" s="42"/>
      <c r="J12" s="43"/>
    </row>
    <row r="13" ht="18.75">
      <c r="D13" s="42">
        <v>7</v>
      </c>
      <c r="E13" s="43"/>
      <c r="F13" s="44"/>
      <c r="G13" s="42"/>
      <c r="H13" s="42"/>
      <c r="I13" s="42"/>
      <c r="J13" s="43"/>
    </row>
    <row r="14" ht="18.75">
      <c r="D14" s="42">
        <v>8</v>
      </c>
      <c r="E14" s="43"/>
      <c r="F14" s="44"/>
      <c r="G14" s="42"/>
      <c r="H14" s="42"/>
      <c r="I14" s="42"/>
      <c r="J14" s="43"/>
    </row>
    <row r="15" ht="18.75">
      <c r="D15" s="42">
        <v>9</v>
      </c>
      <c r="E15" s="43"/>
      <c r="F15" s="44"/>
      <c r="G15" s="42"/>
      <c r="H15" s="42"/>
      <c r="I15" s="42"/>
      <c r="J15" s="43"/>
    </row>
    <row r="16" ht="18.75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>
      <c r="B12" t="s">
        <v>100</v>
      </c>
      <c r="C12" t="s">
        <v>55</v>
      </c>
      <c r="G12">
        <v>9</v>
      </c>
      <c r="H12">
        <v>9</v>
      </c>
      <c r="I12">
        <v>9</v>
      </c>
    </row>
    <row r="13">
      <c r="B13" t="s">
        <v>17</v>
      </c>
      <c r="C13" t="s">
        <v>56</v>
      </c>
    </row>
    <row r="14">
      <c r="B14" t="s">
        <v>24</v>
      </c>
      <c r="C14" t="s">
        <v>57</v>
      </c>
    </row>
    <row r="15">
      <c r="B15" t="s">
        <v>15</v>
      </c>
      <c r="C15" t="s">
        <v>58</v>
      </c>
    </row>
    <row r="16">
      <c r="B16" t="s">
        <v>62</v>
      </c>
      <c r="C16" t="s">
        <v>59</v>
      </c>
    </row>
    <row r="17">
      <c r="B17" t="s">
        <v>18</v>
      </c>
      <c r="C17" t="s">
        <v>60</v>
      </c>
      <c r="J17" t="s">
        <v>114</v>
      </c>
    </row>
    <row r="18">
      <c r="B18" t="s">
        <v>19</v>
      </c>
      <c r="C18" t="s">
        <v>61</v>
      </c>
      <c r="J18" t="s">
        <v>8</v>
      </c>
    </row>
    <row r="19">
      <c r="C19" t="s">
        <v>32</v>
      </c>
      <c r="J19">
        <v>1</v>
      </c>
    </row>
    <row r="20">
      <c r="C20" t="s">
        <v>4</v>
      </c>
      <c r="J20">
        <v>2</v>
      </c>
    </row>
    <row r="21">
      <c r="C21" t="s">
        <v>46</v>
      </c>
    </row>
    <row r="22">
      <c r="C22" t="s">
        <v>45</v>
      </c>
      <c r="J22" t="s">
        <v>115</v>
      </c>
    </row>
    <row r="23">
      <c r="C23" t="s">
        <v>5</v>
      </c>
      <c r="J23" t="s">
        <v>8</v>
      </c>
    </row>
    <row r="24">
      <c r="J24">
        <v>1</v>
      </c>
    </row>
    <row r="25">
      <c r="J25">
        <v>2</v>
      </c>
    </row>
    <row r="26">
      <c r="J26">
        <v>3</v>
      </c>
    </row>
    <row r="27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J10"/>
  <sheetViews>
    <sheetView showGridLines="false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270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ht="15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J12"/>
  <sheetViews>
    <sheetView showGridLines="false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15">
      <c r="A9" s="48" t="s">
        <v>128</v>
      </c>
      <c r="B9" s="31">
        <v>160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ht="45">
      <c r="A10" s="48" t="s">
        <v>102</v>
      </c>
      <c r="B10" s="31">
        <v>1.25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ht="30">
      <c r="A11" s="4" t="s">
        <v>103</v>
      </c>
      <c r="B11" s="31">
        <v>1.6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ht="15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J11"/>
  <sheetViews>
    <sheetView showGridLines="false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15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ht="30">
      <c r="A10" s="4" t="s">
        <v>33</v>
      </c>
      <c r="B10" s="31">
        <v>0.48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ht="15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J16"/>
  <sheetViews>
    <sheetView showGridLines="false" tabSelected="true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45">
      <c r="A9" s="48" t="s">
        <v>141</v>
      </c>
      <c r="B9" s="31">
        <v>60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ht="60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ht="60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ht="75">
      <c r="A12" s="48" t="s">
        <v>142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ht="45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ht="45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ht="60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ht="15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J13"/>
  <sheetViews>
    <sheetView showGridLines="false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70" width="8.7109375" style="3" hidden="true"/>
    <col min="16371" max="16379" width="0.0" style="3" hidden="true"/>
    <col min="16380" max="16384" width="8.7109375" style="3" hidden="true"/>
  </cols>
  <sheetData>
    <row r="1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ht="14.65" customHeight="true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Not Ready</v>
      </c>
    </row>
    <row r="4" ht="14.65" customHeight="true">
      <c r="A4" s="17"/>
      <c r="B4" s="18"/>
      <c r="C4" s="46"/>
      <c r="D4" s="46"/>
      <c r="E4" s="46"/>
      <c r="F4" s="46"/>
      <c r="G4" s="19"/>
      <c r="H4" s="46"/>
      <c r="I4" s="46"/>
      <c r="J4" s="61"/>
    </row>
    <row r="5" ht="14.65" customHeight="true">
      <c r="A5" s="17"/>
      <c r="B5" s="18"/>
      <c r="C5" s="46"/>
      <c r="D5" s="46"/>
      <c r="E5" s="46"/>
      <c r="F5" s="46"/>
      <c r="G5" s="19"/>
      <c r="H5" s="46"/>
      <c r="I5" s="46"/>
      <c r="J5" s="61"/>
    </row>
    <row r="6" ht="14.65" customHeight="true">
      <c r="A6" s="17"/>
      <c r="B6" s="18"/>
      <c r="C6" s="46"/>
      <c r="D6" s="46"/>
      <c r="E6" s="46"/>
      <c r="F6" s="46"/>
      <c r="G6" s="19"/>
      <c r="H6" s="46"/>
      <c r="I6" s="46"/>
      <c r="J6" s="61"/>
    </row>
    <row r="7" ht="14.65" customHeight="true">
      <c r="A7" s="20"/>
      <c r="B7" s="21"/>
      <c r="C7" s="22"/>
      <c r="D7" s="22"/>
      <c r="E7" s="22"/>
      <c r="F7" s="22"/>
      <c r="G7" s="23"/>
      <c r="H7" s="22"/>
      <c r="I7" s="22"/>
      <c r="J7" s="62"/>
    </row>
    <row r="8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ht="30">
      <c r="A9" s="48" t="s">
        <v>112</v>
      </c>
      <c r="B9" s="31">
        <f>60*5</f>
        <v>300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ht="30">
      <c r="A10" s="48" t="s">
        <v>113</v>
      </c>
      <c r="B10" s="31">
        <f>80*5</f>
        <v>400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ht="15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ht="15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ht="15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sheet="true" objects="true" scenarios="true" selectLockedCells="true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false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.0" defaultRowHeight="0.0" customHeight="true" zeroHeight="true"/>
  <cols>
    <col min="1" max="2" width="8.7109375" style="50" customWidth="true"/>
    <col min="3" max="3" width="13.140625" style="50" customWidth="true"/>
    <col min="4" max="4" width="13.42578125" style="50" customWidth="true"/>
    <col min="5" max="6" width="8.7109375" style="50" customWidth="true"/>
    <col min="7" max="7" width="14.7109375" style="50" customWidth="true"/>
    <col min="8" max="8" width="11.7109375" style="50" customWidth="true"/>
    <col min="9" max="9" width="10.28515625" style="50" customWidth="true"/>
    <col min="10" max="10" width="5.7109375" style="50" customWidth="true"/>
    <col min="11" max="11" width="10.42578125" style="50" customWidth="true"/>
    <col min="12" max="17" width="8.7109375" style="50" customWidth="true"/>
    <col min="18" max="16384" width="8.7109375" style="50" hidden="true"/>
  </cols>
  <sheetData>
    <row r="1" ht="15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ht="15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ht="15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ht="15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ht="15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ht="15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ht="1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true" selectUnlockedCells="true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97</v>
      </c>
    </row>
    <row r="2">
      <c r="A2" t="s">
        <v>95</v>
      </c>
    </row>
    <row r="3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109375" defaultRowHeight="15"/>
  <cols>
    <col min="7" max="7" width="12" bestFit="true" customWidth="true"/>
    <col min="15" max="15" width="14.7109375" bestFit="true" customWidth="true"/>
    <col min="16" max="16" width="8.7109375" bestFit="true" customWidth="true"/>
    <col min="1" max="1" width="10.7109375" customWidth="true"/>
    <col min="2" max="2" width="7.42578125" customWidth="true"/>
    <col min="3" max="3" width="9.7109375" customWidth="true"/>
    <col min="4" max="4" width="8.5703125" customWidth="true"/>
    <col min="5" max="5" width="10.140625" customWidth="true"/>
    <col min="6" max="6" width="9.42578125" customWidth="true"/>
    <col min="8" max="8" width="8.85546875" customWidth="true"/>
    <col min="9" max="9" width="9.42578125" customWidth="true"/>
    <col min="10" max="10" width="11.85546875" customWidth="true"/>
    <col min="11" max="11" width="14.7109375" customWidth="true"/>
    <col min="12" max="12" width="15.140625" customWidth="true"/>
    <col min="13" max="13" width="11.42578125" customWidth="true"/>
    <col min="14" max="14" width="14.28515625" customWidth="true"/>
    <col min="17" max="17" width="9.42578125" customWidth="true"/>
    <col min="18" max="18" width="11.5703125" customWidth="true"/>
    <col min="19" max="19" width="13.140625" customWidth="true"/>
    <col min="20" max="20" width="11" customWidth="true"/>
    <col min="21" max="21" width="9.140625" customWidth="true"/>
    <col min="22" max="22" width="9.42578125" customWidth="true"/>
  </cols>
  <sheetData>
    <row r="1">
      <c r="A1" s="0" t="s">
        <v>49696</v>
      </c>
      <c r="B1" s="0" t="s">
        <v>49697</v>
      </c>
      <c r="C1" s="0" t="s">
        <v>49698</v>
      </c>
      <c r="D1" s="0" t="s">
        <v>49699</v>
      </c>
      <c r="E1" s="0" t="s">
        <v>49700</v>
      </c>
      <c r="F1" s="0" t="s">
        <v>49701</v>
      </c>
      <c r="G1" s="0" t="s">
        <v>49702</v>
      </c>
      <c r="H1" s="0" t="s">
        <v>49703</v>
      </c>
      <c r="I1" s="0" t="s">
        <v>49704</v>
      </c>
      <c r="J1" s="0" t="s">
        <v>49705</v>
      </c>
      <c r="K1" s="0" t="s">
        <v>49706</v>
      </c>
      <c r="L1" s="0" t="s">
        <v>49707</v>
      </c>
      <c r="M1" s="0" t="s">
        <v>49708</v>
      </c>
      <c r="N1" s="0" t="s">
        <v>49709</v>
      </c>
      <c r="O1" s="0" t="s">
        <v>49710</v>
      </c>
      <c r="P1" s="0" t="s">
        <v>49711</v>
      </c>
      <c r="Q1" s="0" t="s">
        <v>49712</v>
      </c>
      <c r="R1" s="0" t="s">
        <v>49713</v>
      </c>
      <c r="S1" s="0" t="s">
        <v>49714</v>
      </c>
      <c r="T1" s="0" t="s">
        <v>49715</v>
      </c>
      <c r="U1" s="0" t="s">
        <v>49716</v>
      </c>
      <c r="V1" s="0" t="s">
        <v>49717</v>
      </c>
    </row>
    <row r="2">
      <c r="A2" s="0">
        <v>5</v>
      </c>
      <c r="B2" s="0"/>
      <c r="C2" s="0">
        <v>160</v>
      </c>
      <c r="D2" s="0">
        <v>1.25</v>
      </c>
      <c r="E2" s="0">
        <v>1.6000000000000001</v>
      </c>
      <c r="F2" s="0"/>
      <c r="G2" s="0">
        <v>0.315</v>
      </c>
      <c r="H2" s="0">
        <v>0.47999999999999998</v>
      </c>
      <c r="I2" s="0"/>
      <c r="J2" s="0">
        <v>45.300239680785076</v>
      </c>
      <c r="K2" s="0"/>
      <c r="L2" s="0"/>
      <c r="M2" s="0">
        <v>1.01325</v>
      </c>
      <c r="N2" s="0"/>
      <c r="O2" s="0"/>
      <c r="P2" s="0">
        <v>0.82889209643528261</v>
      </c>
      <c r="Q2" s="0"/>
      <c r="R2" s="0">
        <v>300</v>
      </c>
      <c r="S2" s="0">
        <v>400</v>
      </c>
      <c r="T2" s="0">
        <v>0.0078300000000000002</v>
      </c>
      <c r="U2" s="0">
        <v>502.31999999999999</v>
      </c>
      <c r="V2" s="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109375" defaultRowHeight="15"/>
  <sheetData>
    <row r="1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2023-09-21T13:09:14Z</dcterms:modified>
</cp:coreProperties>
</file>