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EC2E3393-452C-41E9-8EB6-8A83944CDDCC}" xr6:coauthVersionLast="47" xr6:coauthVersionMax="47" xr10:uidLastSave="{00000000-0000-0000-0000-000000000000}"/>
  <bookViews>
    <workbookView xWindow="3330" yWindow="705" windowWidth="21210" windowHeight="13920" tabRatio="818" firstSheet="2" activeTab="6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57" l="1"/>
  <c r="I12" i="53" l="1"/>
  <c r="H12" i="53"/>
  <c r="I14" i="53"/>
  <c r="H14" i="53"/>
  <c r="I16" i="53"/>
  <c r="H16" i="53"/>
  <c r="I18" i="53"/>
  <c r="H18" i="53"/>
  <c r="I20" i="53"/>
  <c r="H20" i="53"/>
  <c r="I22" i="53"/>
  <c r="H22" i="53"/>
  <c r="I24" i="53"/>
  <c r="H24" i="53"/>
  <c r="I26" i="53"/>
  <c r="H26" i="53"/>
  <c r="I28" i="53"/>
  <c r="H28" i="53"/>
  <c r="I30" i="53"/>
  <c r="H30" i="53"/>
  <c r="I32" i="53"/>
  <c r="H32" i="53"/>
  <c r="I34" i="53"/>
  <c r="H34" i="53"/>
  <c r="I36" i="53"/>
  <c r="H36" i="53"/>
  <c r="I38" i="53"/>
  <c r="H38" i="53"/>
  <c r="I40" i="53"/>
  <c r="H40" i="53"/>
  <c r="I42" i="53"/>
  <c r="H42" i="53"/>
  <c r="I44" i="53"/>
  <c r="H44" i="53"/>
  <c r="I43" i="53"/>
  <c r="I41" i="53"/>
  <c r="I39" i="53"/>
  <c r="I37" i="53"/>
  <c r="I35" i="53"/>
  <c r="I33" i="53"/>
  <c r="H43" i="53" l="1"/>
  <c r="H41" i="53"/>
  <c r="H39" i="53"/>
  <c r="H37" i="53"/>
  <c r="H35" i="53"/>
  <c r="H33" i="53"/>
  <c r="I13" i="53"/>
  <c r="I11" i="53"/>
  <c r="I31" i="53" l="1"/>
  <c r="H31" i="53"/>
  <c r="I29" i="53"/>
  <c r="H29" i="53"/>
  <c r="I27" i="53"/>
  <c r="H27" i="53"/>
  <c r="I25" i="53"/>
  <c r="H25" i="53"/>
  <c r="I23" i="53"/>
  <c r="H23" i="53"/>
  <c r="I21" i="53"/>
  <c r="H21" i="53"/>
  <c r="I19" i="53"/>
  <c r="H19" i="53"/>
  <c r="I17" i="53"/>
  <c r="H17" i="53"/>
  <c r="I15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5" i="53" l="1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  <author>tc={C33AF842-3C0F-44AD-A413-DADBCA2D42F7}</author>
    <author>tc={BE07FC88-1CE5-4E41-A96B-584F27687AF2}</author>
    <author>tc={4AB09E3A-D6A4-42E0-B5AB-A0921DB36223}</author>
    <author>tc={486675FC-508C-49F2-B770-7099217DB28A}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  <comment ref="B13" authorId="3" shapeId="0" xr:uid="{C33AF842-3C0F-44AD-A413-DADBCA2D42F7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 value: 1,0982</t>
      </text>
    </comment>
    <comment ref="B14" authorId="4" shapeId="0" xr:uid="{BE07FC88-1CE5-4E41-A96B-584F27687AF2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 value: 8,9512</t>
      </text>
    </comment>
    <comment ref="B15" authorId="5" shapeId="0" xr:uid="{4AB09E3A-D6A4-42E0-B5AB-A0921DB36223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 value: 0,00375</t>
      </text>
    </comment>
    <comment ref="B16" authorId="6" shapeId="0" xr:uid="{486675FC-508C-49F2-B770-7099217DB28A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 value: 0,073962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  <author>tc={B269AD89-20CE-4B9B-A0E6-F23BB788650B}</author>
    <author>tc={A5CDA6EB-4864-4968-A214-24438A2C3C64}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  <comment ref="B10" authorId="3" shapeId="0" xr:uid="{B269AD89-20CE-4B9B-A0E6-F23BB788650B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 value: 0,587</t>
      </text>
    </comment>
    <comment ref="B11" authorId="4" shapeId="0" xr:uid="{A5CDA6EB-4864-4968-A214-24438A2C3C64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 value: 0,021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<sst xmlns="http://schemas.openxmlformats.org/spreadsheetml/2006/main" count="583" uniqueCount="210">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</sst>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171015" y="1187262"/>
          <a:ext cx="4283477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OneDrive\Dokumentumok\MATLAB\toPSAil\4_example\case_study_1.5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OneDrive\Dokumentumok\MATLAB\toPSAil\4_example\case_study_1.5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Viktor Kalman" id="{5E4F81FB-7A0B-43EF-A108-4FB76FE8A3CE}" userId="c2537e2062e1bab3" providerId="Windows Live"/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  <threadedComment ref="B13" dT="2023-08-21T10:20:32.05" personId="{5E4F81FB-7A0B-43EF-A108-4FB76FE8A3CE}" id="{C33AF842-3C0F-44AD-A413-DADBCA2D42F7}">
    <text>Original value: 1,0982</text>
  </threadedComment>
  <threadedComment ref="B14" dT="2023-08-21T10:20:47.91" personId="{5E4F81FB-7A0B-43EF-A108-4FB76FE8A3CE}" id="{BE07FC88-1CE5-4E41-A96B-584F27687AF2}">
    <text>Original value: 8,9512</text>
  </threadedComment>
  <threadedComment ref="B15" dT="2023-08-21T10:20:59.79" personId="{5E4F81FB-7A0B-43EF-A108-4FB76FE8A3CE}" id="{4AB09E3A-D6A4-42E0-B5AB-A0921DB36223}">
    <text>Original value: 0,00375</text>
  </threadedComment>
  <threadedComment ref="B16" dT="2023-08-21T10:21:13.54" personId="{5E4F81FB-7A0B-43EF-A108-4FB76FE8A3CE}" id="{486675FC-508C-49F2-B770-7099217DB28A}">
    <text>Original value: 0,073962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  <threadedComment ref="B10" dT="2023-08-21T10:21:26.04" personId="{5E4F81FB-7A0B-43EF-A108-4FB76FE8A3CE}" id="{B269AD89-20CE-4B9B-A0E6-F23BB788650B}">
    <text>Original value: 0,587</text>
  </threadedComment>
  <threadedComment ref="B11" dT="2023-08-21T10:21:36.29" personId="{5E4F81FB-7A0B-43EF-A108-4FB76FE8A3CE}" id="{A5CDA6EB-4864-4968-A214-24438A2C3C64}">
    <text>Original value: 0,021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5.25">
      <c r="D5" s="59" t="s">
        <v>39</v>
      </c>
      <c r="E5" s="59"/>
      <c r="F5" s="59"/>
      <c r="G5" s="59"/>
      <c r="H5" s="59"/>
      <c r="I5" s="59"/>
      <c r="J5" s="59"/>
    </row>
    <row r="6" spans="4:10" ht="18.75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6.25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7.5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IF(COUNTIF(Table1931213142[Test 3],1)=COUNTA(Table1931213142[Value]),"Ready","Not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0">
      <c r="A10" s="4" t="s">
        <v>149</v>
      </c>
      <c r="B10" s="33">
        <v>0.3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5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GRP7JAGZR8Yfm+DaAk9TNbPqMBPqCw9Mfd1GrdULPjwgI+4NVJTgOxCK9HTczqDvIkPUt595uXUCPLPRX/7BXg==" saltValue="338Yw1bKyc7awCil+EAKJ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IF(COUNTIF(Table1931213143[Test 3],1)=COUNTA(Table1931213143[Value]),"Ready","Not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5">
      <c r="A10" s="4" t="s">
        <v>122</v>
      </c>
      <c r="B10" s="33">
        <v>2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5">
      <c r="A11" s="4" t="s">
        <v>136</v>
      </c>
      <c r="B11" s="33">
        <f>1-B12</f>
        <v>0.26</v>
      </c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1</v>
      </c>
      <c r="J11" s="5" t="s">
        <v>134</v>
      </c>
    </row>
    <row r="12" spans="1:10" ht="15">
      <c r="A12" s="4" t="s">
        <v>137</v>
      </c>
      <c r="B12" s="33">
        <v>0.74</v>
      </c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1</v>
      </c>
      <c r="J12" s="5" t="s">
        <v>135</v>
      </c>
    </row>
    <row r="13" spans="1:10" ht="15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WftB0x6+wJz1TQKLzYR1KmYYwQsdVYJXsuKpMLPIn85j/8xVz5GuFrROXYG4sJpaVwT6TjkuU4Hw9FwHzBgjTg==" saltValue="lqP8ulAfiYytcuqIBdmgUA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IF(COUNTIF(Table1931213144[Test 3],1)=COUNTA(Table1931213144[Value]),"Ready","Not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0">
      <c r="A10" s="4" t="s">
        <v>66</v>
      </c>
      <c r="B10" s="33"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0">
      <c r="A11" s="4" t="s">
        <v>67</v>
      </c>
      <c r="B11" s="33">
        <v>4.4099999999999999E-4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5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1yw/9SoP2bYysZXHXkVWd5vqBBAL51b4mj+m5wHD+0kkUZKU7Lm648Bgc2Nrq5oU2KcmScED1Ts9hmtfFlUkgg==" saltValue="x3RJXP118HaMYWRuQjBA1A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opLeftCell="A2" zoomScaleNormal="100" zoomScaleSheetLayoutView="85" workbookViewId="0">
      <pane ySplit="8" topLeftCell="A12" activePane="bottomLeft" state="frozen"/>
      <selection activeCell="A10" sqref="A10:J10"/>
      <selection pane="bottomLeft" activeCell="B15" sqref="B15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4.65" customHeight="1"/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IF(COUNTIF(Table193121314[Test 3],1)=COUNTA(Table193121314[Value]),"Ready","Not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0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108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108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63">
      <c r="A13" s="4" t="s">
        <v>71</v>
      </c>
      <c r="B13" s="33">
        <v>1.0982000000000001</v>
      </c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1</v>
      </c>
      <c r="J13" s="5" t="s">
        <v>188</v>
      </c>
    </row>
    <row r="14" spans="1:10" ht="63">
      <c r="A14" s="4" t="s">
        <v>74</v>
      </c>
      <c r="B14" s="33">
        <v>8.9512</v>
      </c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1</v>
      </c>
      <c r="J14" s="5" t="s">
        <v>188</v>
      </c>
    </row>
    <row r="15" spans="1:10" ht="78">
      <c r="A15" s="4" t="s">
        <v>72</v>
      </c>
      <c r="B15" s="33">
        <v>3.7499999999999999E-3</v>
      </c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1</v>
      </c>
      <c r="J15" s="5" t="s">
        <v>181</v>
      </c>
    </row>
    <row r="16" spans="1:10" ht="78">
      <c r="A16" s="4" t="s">
        <v>73</v>
      </c>
      <c r="B16" s="33">
        <v>7.3962E-2</v>
      </c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1</v>
      </c>
      <c r="J16" s="5" t="s">
        <v>181</v>
      </c>
    </row>
    <row r="17" spans="1:10" ht="123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182</v>
      </c>
    </row>
    <row r="18" spans="1:10" ht="123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182</v>
      </c>
    </row>
    <row r="19" spans="1:10" ht="63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5" t="s">
        <v>183</v>
      </c>
    </row>
    <row r="20" spans="1:10" ht="63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IF('[2]Model Selection'!$B$10=3,1,0)</f>
        <v>0</v>
      </c>
      <c r="J20" s="5" t="s">
        <v>183</v>
      </c>
    </row>
    <row r="21" spans="1:10" ht="78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184</v>
      </c>
    </row>
    <row r="22" spans="1:10" ht="78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184</v>
      </c>
    </row>
    <row r="23" spans="1:10" ht="78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185</v>
      </c>
    </row>
    <row r="24" spans="1:10" ht="78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185</v>
      </c>
    </row>
    <row r="25" spans="1:10" ht="78">
      <c r="A25" s="46" t="s">
        <v>171</v>
      </c>
      <c r="B25" s="33"/>
      <c r="C25" s="35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186</v>
      </c>
    </row>
    <row r="26" spans="1:10" ht="78">
      <c r="A26" s="46" t="s">
        <v>172</v>
      </c>
      <c r="B26" s="33"/>
      <c r="C26" s="35" t="s">
        <v>189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186</v>
      </c>
    </row>
    <row r="27" spans="1:10" ht="78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187</v>
      </c>
    </row>
    <row r="28" spans="1:10" ht="78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187</v>
      </c>
    </row>
    <row r="29" spans="1:10" ht="108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190</v>
      </c>
    </row>
    <row r="30" spans="1:10" ht="108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190</v>
      </c>
    </row>
    <row r="31" spans="1:10" ht="78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191</v>
      </c>
    </row>
    <row r="32" spans="1:10" ht="7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191</v>
      </c>
    </row>
    <row r="33" spans="1:10" ht="45">
      <c r="A33" s="56" t="s">
        <v>192</v>
      </c>
      <c r="B33" s="57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58" t="s">
        <v>193</v>
      </c>
    </row>
    <row r="34" spans="1:10" ht="45">
      <c r="A34" s="56" t="s">
        <v>194</v>
      </c>
      <c r="B34" s="57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58" t="s">
        <v>193</v>
      </c>
    </row>
    <row r="35" spans="1:10" ht="45">
      <c r="A35" s="56" t="s">
        <v>195</v>
      </c>
      <c r="B35" s="57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58" t="s">
        <v>196</v>
      </c>
    </row>
    <row r="36" spans="1:10" ht="45">
      <c r="A36" s="56" t="s">
        <v>197</v>
      </c>
      <c r="B36" s="57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58" t="s">
        <v>196</v>
      </c>
    </row>
    <row r="37" spans="1:10" ht="45">
      <c r="A37" s="56" t="s">
        <v>198</v>
      </c>
      <c r="B37" s="57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58" t="s">
        <v>199</v>
      </c>
    </row>
    <row r="38" spans="1:10" ht="45">
      <c r="A38" s="56" t="s">
        <v>200</v>
      </c>
      <c r="B38" s="57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58" t="s">
        <v>199</v>
      </c>
    </row>
    <row r="39" spans="1:10" ht="45">
      <c r="A39" s="56" t="s">
        <v>201</v>
      </c>
      <c r="B39" s="57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58" t="s">
        <v>202</v>
      </c>
    </row>
    <row r="40" spans="1:10" ht="45">
      <c r="A40" s="56" t="s">
        <v>203</v>
      </c>
      <c r="B40" s="57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58" t="s">
        <v>202</v>
      </c>
    </row>
    <row r="41" spans="1:10" ht="45">
      <c r="A41" s="56" t="s">
        <v>204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58" t="s">
        <v>205</v>
      </c>
    </row>
    <row r="42" spans="1:10" ht="45">
      <c r="A42" s="56" t="s">
        <v>206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58" t="s">
        <v>205</v>
      </c>
    </row>
    <row r="43" spans="1:10" ht="45">
      <c r="A43" s="56" t="s">
        <v>207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58" t="s">
        <v>208</v>
      </c>
    </row>
    <row r="44" spans="1:10" ht="45">
      <c r="A44" s="56" t="s">
        <v>209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58" t="s">
        <v>208</v>
      </c>
    </row>
    <row r="45" spans="1:10" ht="15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PsuifGUfQWeGPXff0hwzzbUL8U+g1+WkgdbARZ6C0wYIsTbGNObAG9nwklfPoNzNMSJEQgFWxskRnFro2yW6nA==" saltValue="yXToNRQ4gm2xvUriuoZ+P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22">
      <formula>IF(AND($B10&lt;&gt;"",$I10=0),1,0)</formula>
    </cfRule>
    <cfRule type="expression" dxfId="70" priority="23">
      <formula>IF($B10&lt;&gt;"",1,0)</formula>
    </cfRule>
    <cfRule type="expression" dxfId="69" priority="24">
      <formula>$I10=0</formula>
    </cfRule>
  </conditionalFormatting>
  <conditionalFormatting sqref="B13:B14">
    <cfRule type="expression" dxfId="68" priority="13">
      <formula>IF(AND($B13&lt;&gt;"",$I13=0),1,0)</formula>
    </cfRule>
    <cfRule type="expression" dxfId="67" priority="14">
      <formula>IF($B13&lt;&gt;"",1,0)</formula>
    </cfRule>
    <cfRule type="expression" dxfId="66" priority="15">
      <formula>$I13=0</formula>
    </cfRule>
  </conditionalFormatting>
  <conditionalFormatting sqref="B10">
    <cfRule type="expression" dxfId="65" priority="10">
      <formula>IF(AND($B10&lt;&gt;"",$I10=0),1,0)</formula>
    </cfRule>
    <cfRule type="expression" dxfId="64" priority="11">
      <formula>IF($B10&lt;&gt;"",1,0)</formula>
    </cfRule>
    <cfRule type="expression" dxfId="63" priority="12">
      <formula>$I10=0</formula>
    </cfRule>
  </conditionalFormatting>
  <conditionalFormatting sqref="J4">
    <cfRule type="expression" dxfId="62" priority="2287">
      <formula>IF(COUNTA($B$10:$B$45)&lt;&gt;COUNTIF($I$10:$I$45,1),1,0)</formula>
    </cfRule>
    <cfRule type="expression" dxfId="61" priority="2288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IF(COUNTIF(Table19312131415[Test 3],1)=COUNTA(Table19312131415[Value]),"Ready","Not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5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5">
      <c r="A11" s="4" t="s">
        <v>85</v>
      </c>
      <c r="B11" s="33">
        <v>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5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F5c1wjyzSGpAKFLGE71maEizU10tJt8UVoW0i5Agv+5ZzPcp9ppG0NwJBx9SoIqAKLCbtFSrQ79Sd8EX4TGsig==" saltValue="TpTBGwFOqmCgX6s/O0XXo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IF(COUNTIF(Table1931213141516[Test 3],1)=COUNTA(Table1931213141516[Value]),"Ready","Not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5">
      <c r="A10" s="46" t="s">
        <v>127</v>
      </c>
      <c r="B10" s="33">
        <v>920.48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5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8KlVr9GRaiXuI4/WmUGO9PtQJ4VOTgewFtqP+Ck910VlEpncISHAfsJCaXqdSoYROFYuehcvP/O3fSSb3LpGPQ==" saltValue="jAEPb2PUCmh5OH6zNaeld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65" customHeight="1" zeroHeight="1"/>
  <cols>
    <col min="1" max="2" width="8.7109375" style="48" customWidth="1"/>
    <col min="3" max="3" width="13.140625" style="48" customWidth="1"/>
    <col min="4" max="4" width="13.42578125" style="48" customWidth="1"/>
    <col min="5" max="7" width="8.7109375" style="48" customWidth="1"/>
    <col min="8" max="8" width="14.7109375" style="48" customWidth="1"/>
    <col min="9" max="9" width="11.7109375" style="48" customWidth="1"/>
    <col min="10" max="10" width="10.28515625" style="48" customWidth="1"/>
    <col min="11" max="11" width="33.7109375" style="48" customWidth="1"/>
    <col min="12" max="12" width="40.7109375" style="48" customWidth="1"/>
    <col min="13" max="18" width="8.7109375" style="48" customWidth="1"/>
    <col min="19" max="48" width="0" style="48" hidden="1" customWidth="1"/>
    <col min="49" max="16384" width="8.7109375" style="48" hidden="1"/>
  </cols>
  <sheetData>
    <row r="1" spans="1:18" ht="14.6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>
      <c r="A2" s="64" t="s">
        <v>103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ht="15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109375" defaultRowHeight="15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195</v>
      </c>
      <c r="AJ1" t="s">
        <v>197</v>
      </c>
      <c r="AK1" t="s">
        <v>198</v>
      </c>
      <c r="AL1" t="s">
        <v>200</v>
      </c>
      <c r="AM1" t="s">
        <v>201</v>
      </c>
      <c r="AN1" t="s">
        <v>203</v>
      </c>
      <c r="AO1" t="s">
        <v>204</v>
      </c>
      <c r="AP1" t="s">
        <v>206</v>
      </c>
      <c r="AQ1" t="s">
        <v>207</v>
      </c>
      <c r="AR1" t="s">
        <v>209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0.3</v>
      </c>
      <c r="C2">
        <v>2</v>
      </c>
      <c r="D2">
        <v>0.26</v>
      </c>
      <c r="E2">
        <v>0.74</v>
      </c>
      <c r="G2">
        <v>1.16E-3</v>
      </c>
      <c r="H2">
        <v>4.4099999999999999E-4</v>
      </c>
      <c r="J2">
        <v>303</v>
      </c>
      <c r="M2">
        <v>1.0982000000000001</v>
      </c>
      <c r="N2">
        <v>8.9512</v>
      </c>
      <c r="O2">
        <v>3.7499999999999999E-3</v>
      </c>
      <c r="P2">
        <v>7.3962E-2</v>
      </c>
      <c r="AT2">
        <v>0.58699999999999997</v>
      </c>
      <c r="AU2">
        <v>10</v>
      </c>
      <c r="AW2">
        <v>920.48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109375" defaultRowHeight="15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195</v>
      </c>
      <c r="AJ1" t="s">
        <v>197</v>
      </c>
      <c r="AK1" t="s">
        <v>198</v>
      </c>
      <c r="AL1" t="s">
        <v>200</v>
      </c>
      <c r="AM1" t="s">
        <v>201</v>
      </c>
      <c r="AN1" t="s">
        <v>203</v>
      </c>
      <c r="AO1" t="s">
        <v>204</v>
      </c>
      <c r="AP1" t="s">
        <v>206</v>
      </c>
      <c r="AQ1" t="s">
        <v>207</v>
      </c>
      <c r="AR1" t="s">
        <v>209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2023-09-22T08:20:28Z</dcterms:modified>
</cp:coreProperties>
</file>