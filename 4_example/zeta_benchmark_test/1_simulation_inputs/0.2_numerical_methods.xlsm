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controlproperties+xml" PartName="/xl/ctrlProps/ctrlProp1.xml"/>
  <Override ContentType="application/vnd.ms-excel.controlproperties+xml" PartName="/xl/ctrlProps/ctrlProp2.xml"/>
  <Override ContentType="application/vnd.ms-excel.controlproperties+xml" PartName="/xl/ctrlProps/ctrlProp3.xml"/>
  <Override ContentType="application/vnd.openxmlformats-officedocument.spreadsheetml.table+xml" PartName="/xl/tables/table1.xml"/>
  <Override ContentType="application/vnd.openxmlformats-officedocument.spreadsheetml.comments+xml" PartName="/xl/comments1.xml"/>
  <Override ContentType="application/vnd.openxmlformats-officedocument.drawing+xml" PartName="/xl/drawings/drawing3.xml"/>
  <Override ContentType="application/vnd.ms-excel.controlproperties+xml" PartName="/xl/ctrlProps/ctrlProp4.xml"/>
  <Override ContentType="application/vnd.ms-excel.controlproperties+xml" PartName="/xl/ctrlProps/ctrlProp5.xml"/>
  <Override ContentType="application/vnd.ms-excel.controlproperties+xml" PartName="/xl/ctrlProps/ctrlProp6.xml"/>
  <Override ContentType="application/vnd.openxmlformats-officedocument.spreadsheetml.table+xml" PartName="/xl/tables/table2.xml"/>
  <Override ContentType="application/vnd.openxmlformats-officedocument.spreadsheetml.comments+xml" PartName="/xl/comments2.xml"/>
  <Override ContentType="application/vnd.openxmlformats-officedocument.drawing+xml" PartName="/xl/drawings/drawing4.xml"/>
  <Override ContentType="application/vnd.ms-excel.controlproperties+xml" PartName="/xl/ctrlProps/ctrlProp7.xml"/>
  <Override ContentType="application/vnd.ms-excel.controlproperties+xml" PartName="/xl/ctrlProps/ctrlProp8.xml"/>
  <Override ContentType="application/vnd.ms-excel.controlproperties+xml" PartName="/xl/ctrlProps/ctrlProp9.xml"/>
  <Override ContentType="application/vnd.openxmlformats-officedocument.spreadsheetml.table+xml" PartName="/xl/tables/table3.xml"/>
  <Override ContentType="application/vnd.openxmlformats-officedocument.spreadsheetml.comments+xml" PartName="/xl/comments3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ms-excel.person+xml" PartName="/xl/persons/person.xml"/>
  <Override ContentType="application/vnd.ms-excel.threadedcomments+xml" PartName="/xl/threadedComments/threadedComment1.xml"/>
  <Override ContentType="application/vnd.ms-excel.threadedcomments+xml" PartName="/xl/threadedComments/threadedComment2.xml"/>
  <Override ContentType="application/vnd.ms-excel.threadedcomments+xml" PartName="/xl/threadedComments/threadedComment3.xml"/>
</Types>
</file>

<file path=_rels/.rels><?xml version="1.0" encoding="UTF-8"?><Relationships xmlns="http://schemas.openxmlformats.org/package/2006/relationships"><Relationship Target="docProps/app.xml" Type="http://schemas.openxmlformats.org/officeDocument/2006/relationships/extended-properties" Id="rId3"/><Relationship Target="docProps/core.xml" Type="http://schemas.openxmlformats.org/package/2006/relationships/metadata/core-properties" Id="rId2"/><Relationship Target="xl/workbook.xml" Type="http://schemas.openxmlformats.org/officeDocument/2006/relationships/officeDocument" Id="rId1"/></Relationships>
</file>

<file path=xl/workbook.xml><?xml version="1.0" encoding="utf-8"?>
<workbook xmlns:r="http://schemas.openxmlformats.org/officeDocument/2006/relationships" xmlns="http://schemas.openxmlformats.org/spreadsheetml/2006/main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6" codeName="{3D1A710C-6663-3D7B-7F91-EC182F24A4B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kalman\Documents\MATLAB\toPSAil\4_example\zeta_iso_cac\1_simulation_inputs\"/>
    </mc:Choice>
  </mc:AlternateContent>
  <xr:revisionPtr revIDLastSave="0" documentId="13_ncr:1_{8CB9D1E3-CAE6-4B9A-8190-C5F69FFC91FB}" xr6:coauthVersionLast="36" xr6:coauthVersionMax="47" xr10:uidLastSave="{00000000-0000-0000-0000-000000000000}"/>
  <bookViews>
    <workbookView xWindow="-120" yWindow="-120" windowWidth="38640" windowHeight="21240" tabRatio="818" activeTab="1"/>
  </bookViews>
  <sheets>
    <sheet name="Revision History" sheetId="4" r:id="rId1"/>
    <sheet name="Discretization" sheetId="39" r:id="rId2"/>
    <sheet name="Numerical Integration" sheetId="42" r:id="rId3"/>
    <sheet name="Numerical Thresholds" sheetId="10" r:id="rId4"/>
    <sheet name="Help" sheetId="40" state="hidden" r:id="rId5"/>
    <sheet name="Reference" sheetId="2" state="hidden" r:id="rId6"/>
    <sheet name="maintenance check list" sheetId="28" state="hidden" r:id="rId7"/>
    <sheet name="Data(Transposed)" sheetId="3" r:id="rId8"/>
    <sheet name="Data(Test)" sheetId="9" state="hidden" r:id="rId9"/>
  </sheets>
  <functionGroups builtInGroupCount="19"/>
  <definedNames>
    <definedName name="_xlnm._FilterDatabase" localSheetId="1" hidden="true">Discretization!$A$9:$J$12</definedName>
    <definedName name="_xlnm._FilterDatabase" localSheetId="2" hidden="true">'Numerical Integration'!$A$9:$J$13</definedName>
    <definedName name="_xlnm._FilterDatabase" localSheetId="3" hidden="true">'Numerical Thresholds'!$A$9:$J$11</definedName>
    <definedName name="_xlnm.Print_Area" localSheetId="1">Discretization!$A$2:$J$12</definedName>
    <definedName name="_xlnm.Print_Area" localSheetId="2">'Numerical Integration'!$A$2:$J$13</definedName>
    <definedName name="_xlnm.Print_Area" localSheetId="3">'Numerical Thresholds'!$A$2:$J$11</definedName>
    <definedName name="_xlnm.Print_Area" localSheetId="0">'Revision History'!$C$3:$K$51</definedName>
  </definedNames>
  <calcPr calcId="191029" fullCalcOnLoad="true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tc={2098560F-C92A-4527-B73B-CDE0FA861BCD}</author>
    <author>tc={02C02106-AE8E-4FEF-8B35-8F0B8F7C1FE9}</author>
    <author>tc={72C780EE-EEC0-48BF-833D-92549ACE4142}</author>
  </authors>
  <commentList>
    <comment ref="G9" authorId="0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  </r>
      </text>
    </comment>
    <comment ref="H9" authorId="1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  </r>
      </text>
    </comment>
    <comment ref="I9" authorId="2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  </r>
      </text>
    </comment>
  </commentList>
</comments>
</file>

<file path=xl/comments2.xml><?xml version="1.0" encoding="utf-8"?>
<comments xmlns="http://schemas.openxmlformats.org/spreadsheetml/2006/main">
  <authors>
    <author>tc={C5D634BE-660D-4A5C-AADC-13CFF35AFE46}</author>
    <author>tc={94EE4805-2227-461F-B7FB-15BAA4A0028B}</author>
    <author>tc={DF90C488-2806-4D10-ABFE-9DED4DF707CC}</author>
  </authors>
  <commentList>
    <comment ref="G9" authorId="0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  </r>
      </text>
    </comment>
    <comment ref="H9" authorId="1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  </r>
      </text>
    </comment>
    <comment ref="I9" authorId="2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  </r>
      </text>
    </comment>
  </commentList>
</comments>
</file>

<file path=xl/comments3.xml><?xml version="1.0" encoding="utf-8"?>
<comments xmlns="http://schemas.openxmlformats.org/spreadsheetml/2006/main">
  <authors>
    <author>tc={ABAAE104-1442-420E-AD26-C6CAD21BF900}</author>
    <author>tc={74D95228-D979-4953-A89D-649833238ADF}</author>
    <author>tc={919D7803-FB7D-4052-BB7E-400DD79A8416}</author>
  </authors>
  <commentList>
    <comment ref="G9" authorId="0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  </r>
      </text>
    </comment>
    <comment ref="H9" authorId="1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  </r>
      </text>
    </comment>
    <comment ref="I9" authorId="2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  </r>
      </text>
    </comment>
  </commentList>
</comments>
</file>

<file path=xl/sharedStrings.xml><?xml version="1.0" encoding="utf-8"?>
<sst xmlns="http://schemas.openxmlformats.org/spreadsheetml/2006/main" count="5164" uniqueCount="5069">
  <si>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</si>
  <si>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</si>
  <si>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</si>
  <si>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</si>
  <si>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</si>
  <si>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</si>
  <si>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</si>
  <si>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</si>
  <si>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</si>
  <si>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</si>
  <si>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</si>
  <si>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</si>
  <si>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</si>
  <si>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</si>
  <si>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</si>
  <si>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</si>
  <si>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</si>
  <si>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</si>
  <si>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</si>
  <si>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</si>
  <si>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</si>
  <si>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</si>
  <si>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</si>
  <si>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</si>
  <si>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</si>
  <si>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</si>
  <si>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</si>
  <si>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</si>
  <si>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</si>
  <si>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</si>
  <si>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</si>
  <si>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</si>
  <si>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</si>
  <si>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</si>
  <si>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</si>
  <si>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</si>
  <si>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</si>
  <si>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</si>
  <si>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</si>
  <si>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</si>
  <si>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</si>
  <si>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</si>
  <si>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</si>
  <si>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</si>
  <si>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</si>
  <si>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</si>
  <si>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</si>
  <si>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</si>
  <si>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</si>
  <si>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</si>
  <si>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</si>
  <si>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</si>
  <si>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</si>
  <si>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</si>
  <si>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</si>
  <si>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</si>
  <si>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</si>
  <si>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</si>
  <si>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</si>
  <si>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</si>
  <si>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</si>
  <si>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</si>
  <si>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</si>
  <si>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</si>
  <si>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</si>
  <si>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</si>
  <si>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</si>
  <si>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</si>
  <si>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</si>
  <si>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</si>
  <si>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</si>
  <si>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</si>
  <si>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</si>
  <si>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</si>
  <si>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</si>
  <si>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</si>
  <si>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</si>
  <si>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</si>
  <si>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</si>
  <si>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</si>
  <si>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</si>
  <si>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</si>
  <si>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</si>
  <si>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</si>
  <si>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</si>
  <si>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</si>
  <si>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</si>
  <si>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</si>
  <si>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</si>
  <si>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</si>
  <si>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</si>
  <si>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</si>
  <si>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</si>
  <si>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</si>
  <si>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</si>
  <si>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</si>
  <si>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</si>
  <si>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</si>
  <si>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</si>
  <si>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</si>
  <si>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</si>
  <si>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</si>
  <si>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</si>
  <si>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</si>
  <si>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</si>
  <si>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Information on Numerical Methods</t>
  </si>
  <si>
    <t>nTiPts</t>
  </si>
  <si>
    <t>The number of time points to be returned after the numerical integration (without event driven mode)</t>
  </si>
  <si>
    <t>numZero</t>
  </si>
  <si>
    <t>Finalized the spreadsheet for the v1.0 release</t>
  </si>
  <si>
    <t>The numerical integrator (i.e., ODE solver) used for the numerical integration of the right hand side function. Please choose ode15s as a default solver and change the solver, depending on the performance of the numerical integration.</t>
  </si>
  <si>
    <t>Definition of a numerical zero for the purpose of the simulation. We will use this specified value as the absolute tolerance within the simulator.</t>
  </si>
  <si>
    <t>Initial development of the "0.2_numerical_methods.xlsm" sheet.</t>
  </si>
  <si>
    <t>REV. NO.2 (9/14/2022)</t>
  </si>
  <si>
    <t>REV. NO.1 (6/8/2022)</t>
  </si>
  <si>
    <t>odeAbsTol</t>
  </si>
  <si>
    <t>odeRelTol</t>
  </si>
  <si>
    <t>The absolute tolerance for the numerical integration, using the specified ODE solver in MATLAB.</t>
  </si>
  <si>
    <t>The number of well-mixed volumes (CSTRs) to be used to represent an adsorption column. Recommended value is less than equal to 100 CSTRs for a system with a sharp mass transfer zone. (reducing the number of CSTRs introduces an artificial numerical diffusion and increasing the number of CSTRs increases the computation time)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</si>
  <si>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</si>
  <si>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</si>
  <si>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</si>
  <si>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</si>
  <si>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</si>
  <si>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</si>
  <si>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</si>
  <si>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</si>
  <si>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</si>
  <si>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</si>
  <si>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</si>
  <si>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</si>
  <si>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</si>
  <si>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</si>
  <si>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</si>
  <si>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</si>
  <si>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</si>
  <si>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</si>
  <si>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</si>
  <si>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</si>
  <si>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</si>
  <si>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</si>
  <si>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</si>
  <si>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</si>
  <si>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</si>
  <si>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</si>
  <si>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</si>
  <si>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</si>
  <si>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</si>
  <si>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</si>
  <si>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</si>
  <si>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</si>
  <si>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</si>
  <si>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</si>
  <si>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</si>
  <si>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</si>
  <si>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</si>
  <si>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</si>
  <si>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</si>
  <si>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</si>
  <si>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</si>
  <si>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</si>
  <si>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</si>
  <si>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</si>
  <si>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</si>
  <si>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</si>
  <si>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</si>
  <si>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</si>
  <si>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</si>
  <si>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</si>
  <si>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</si>
  <si>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</si>
  <si>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</si>
  <si>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</si>
  <si>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</si>
  <si>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</si>
  <si>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</si>
  <si>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</si>
  <si>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</si>
  <si>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</si>
  <si>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</si>
  <si>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</si>
  <si>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</si>
  <si>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</si>
  <si>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</si>
  <si>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</si>
  <si>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</si>
  <si>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</si>
  <si>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</si>
  <si>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</si>
  <si>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</si>
  <si>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</si>
  <si>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</si>
  <si>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</si>
  <si>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</si>
  <si>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</si>
  <si>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</si>
  <si>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</si>
  <si>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</si>
  <si>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</si>
  <si>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</si>
  <si>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</si>
  <si>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</si>
  <si>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</si>
  <si>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</si>
  <si>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</si>
  <si>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</si>
  <si>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</si>
  <si>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</si>
  <si>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</si>
  <si>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</si>
  <si>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</si>
  <si>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</si>
  <si>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</si>
  <si>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</si>
  <si>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</si>
  <si>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</si>
  <si>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</si>
  <si>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</si>
  <si>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</si>
  <si>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</si>
  <si>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</si>
  <si>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</si>
  <si>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</si>
  <si>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</si>
  <si>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</si>
  <si>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</si>
  <si>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</si>
  <si>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</si>
  <si>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</si>
  <si>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</si>
  <si>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</si>
  <si>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</si>
  <si>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</si>
  <si>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</si>
  <si>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</si>
  <si>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</si>
  <si>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</si>
  <si>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</si>
  <si>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</si>
  <si>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</si>
  <si>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</si>
  <si>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</si>
  <si>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</si>
  <si>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</si>
  <si>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</si>
  <si>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</si>
  <si>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</si>
  <si>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</si>
  <si>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</si>
  <si>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</si>
  <si>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</si>
  <si>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</si>
  <si>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</si>
  <si>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</si>
  <si>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</si>
  <si>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</si>
  <si>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</si>
  <si>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</si>
  <si>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</si>
  <si>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</si>
  <si>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</si>
  <si>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</si>
  <si>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</si>
  <si>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</si>
  <si>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</si>
  <si>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</si>
  <si>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</si>
  <si>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</si>
  <si>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</si>
  <si>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</si>
  <si>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</si>
  <si>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</si>
  <si>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</si>
  <si>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</si>
  <si>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</si>
  <si>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</si>
  <si>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</si>
  <si>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</si>
  <si>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</si>
  <si>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</si>
  <si>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</si>
  <si>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</si>
  <si>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</si>
  <si>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</si>
  <si>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</si>
  <si>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</si>
  <si>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</si>
  <si>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</si>
  <si>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</si>
  <si>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</si>
  <si>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</si>
  <si>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</si>
  <si>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</si>
  <si>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</si>
  <si>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</si>
  <si>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</si>
  <si>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</si>
  <si>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</si>
  <si>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</si>
  <si>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</si>
  <si>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</si>
  <si>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</si>
  <si>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</si>
  <si>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</si>
  <si>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</si>
  <si>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</si>
  <si>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</si>
  <si>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</si>
  <si>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</si>
  <si>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</si>
  <si>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</si>
  <si>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</si>
  <si>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</si>
  <si>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</si>
  <si>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</si>
  <si>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</si>
  <si>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</si>
  <si>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</si>
  <si>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</si>
  <si>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</si>
  <si>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</si>
  <si>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</si>
  <si>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</si>
  <si>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</si>
  <si>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</si>
  <si>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</si>
  <si>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</si>
  <si>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</si>
  <si>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</si>
  <si>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</si>
  <si>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</si>
  <si>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</si>
  <si>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</si>
  <si>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</si>
  <si>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</si>
  <si>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</si>
  <si>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</si>
  <si>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</si>
  <si>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</si>
  <si>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</si>
  <si>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</si>
  <si>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</si>
  <si>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</si>
  <si>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</si>
  <si>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</si>
  <si>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</si>
  <si>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</si>
  <si>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</si>
  <si>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</si>
  <si>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</si>
  <si>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</si>
  <si>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</si>
  <si>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</si>
  <si>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</si>
  <si>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</si>
  <si>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</si>
  <si>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</si>
  <si>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</si>
  <si>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</si>
  <si>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</si>
  <si>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</si>
  <si>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</si>
  <si>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</si>
  <si>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</si>
  <si>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</si>
  <si>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</si>
  <si>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</si>
  <si>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</si>
  <si>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</si>
  <si>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</si>
  <si>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</si>
  <si>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</si>
  <si>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</si>
  <si>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</si>
  <si>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</si>
  <si>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</si>
  <si>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</si>
  <si>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</si>
  <si>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</si>
  <si>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</si>
  <si>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</si>
  <si>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</si>
  <si>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</si>
  <si>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</si>
  <si>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</si>
  <si>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</si>
  <si>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</si>
  <si>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</si>
  <si>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</si>
  <si>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</si>
  <si>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</si>
  <si>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</si>
  <si>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</si>
  <si>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</si>
  <si>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</si>
  <si>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</si>
  <si>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</si>
  <si>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</si>
  <si>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</si>
  <si>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</si>
  <si>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</si>
  <si>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</si>
  <si>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</si>
  <si>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</si>
  <si>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</si>
  <si>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</si>
  <si>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</si>
  <si>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</si>
  <si>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</si>
  <si>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</si>
  <si>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</si>
  <si>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</si>
  <si>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</si>
  <si>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</si>
  <si>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</si>
  <si>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</si>
  <si>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</si>
  <si>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</si>
  <si>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</si>
  <si>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</si>
  <si>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</si>
  <si>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</si>
  <si>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</si>
  <si>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</si>
  <si>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</si>
  <si>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</si>
  <si>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</si>
  <si>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</si>
  <si>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</si>
  <si>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</si>
  <si>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</si>
  <si>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</si>
  <si>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</si>
  <si>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</si>
  <si>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</si>
  <si>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</si>
  <si>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</si>
  <si>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</si>
  <si>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</si>
  <si>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</si>
  <si>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</si>
  <si>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</si>
  <si>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</si>
  <si>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</si>
  <si>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</si>
  <si>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</si>
  <si>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</si>
  <si>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</si>
  <si>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</si>
  <si>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</si>
  <si>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</si>
  <si>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</si>
  <si>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</si>
  <si>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</si>
  <si>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</si>
  <si>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</si>
  <si>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</si>
  <si>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</si>
  <si>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</si>
  <si>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</si>
  <si>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</si>
  <si>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</si>
  <si>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</si>
  <si>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</si>
  <si>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</si>
  <si>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</si>
  <si>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</si>
  <si>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</si>
  <si>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</si>
  <si>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</si>
  <si>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</si>
  <si>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</si>
  <si>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</si>
  <si>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</si>
  <si>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</si>
  <si>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</si>
  <si>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</si>
  <si>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</si>
  <si>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</si>
  <si>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</si>
  <si>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</si>
  <si>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</si>
  <si>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</si>
  <si>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</si>
  <si>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</si>
  <si>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</si>
  <si>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</si>
  <si>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</si>
  <si>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</si>
  <si>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</si>
  <si>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</si>
  <si>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</si>
  <si>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</si>
  <si>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</si>
  <si>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</si>
  <si>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</si>
  <si>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</si>
  <si>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</si>
  <si>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</si>
  <si>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</si>
  <si>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</si>
  <si>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</si>
  <si>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</si>
  <si>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</si>
  <si>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</si>
  <si>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</si>
  <si>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</si>
  <si>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</si>
  <si>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</si>
  <si>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</si>
  <si>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</si>
  <si>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</si>
  <si>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</si>
  <si>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</si>
  <si>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</si>
  <si>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</si>
  <si>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</si>
  <si>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</si>
  <si>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</si>
  <si>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</si>
  <si>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</si>
  <si>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</si>
  <si>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</si>
  <si>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</si>
  <si>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</si>
  <si>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</si>
  <si>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</si>
  <si>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</si>
  <si>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</si>
  <si>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</si>
  <si>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</si>
  <si>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</si>
  <si>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</si>
  <si>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</si>
  <si>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</si>
  <si>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</si>
  <si>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</si>
  <si>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</si>
  <si>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</si>
  <si>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</si>
  <si>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</si>
  <si>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</si>
  <si>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</si>
  <si>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</si>
  <si>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</si>
  <si>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</si>
  <si>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</si>
  <si>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</si>
  <si>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</si>
  <si>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</si>
  <si>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</si>
  <si>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</si>
  <si>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</si>
  <si>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</si>
  <si>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</si>
  <si>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</si>
  <si>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</si>
  <si>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</si>
  <si>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</si>
  <si>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</si>
  <si>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</si>
  <si>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</si>
  <si>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</si>
  <si>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</si>
  <si>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</si>
  <si>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</si>
  <si>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</si>
  <si>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</si>
  <si>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</si>
  <si>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</si>
  <si>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</si>
  <si>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</si>
  <si>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</si>
  <si>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</si>
  <si>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</si>
  <si>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</si>
  <si>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</si>
  <si>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</si>
  <si>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</si>
  <si>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</si>
  <si>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</si>
  <si>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</si>
  <si>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</si>
  <si>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</si>
  <si>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</si>
  <si>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</si>
  <si>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</si>
  <si>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</si>
  <si>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</si>
  <si>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</si>
  <si>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</si>
  <si>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</si>
  <si>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</si>
  <si>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</si>
  <si>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</si>
  <si>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</si>
  <si>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</si>
  <si>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</si>
  <si>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</si>
  <si>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</si>
  <si>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</si>
  <si>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</si>
  <si>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</si>
  <si>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</si>
  <si>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</si>
  <si>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</si>
  <si>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</si>
  <si>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</si>
  <si>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</si>
  <si>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</si>
  <si>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</si>
  <si>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</si>
  <si>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</si>
  <si>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</si>
  <si>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</si>
  <si>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</si>
  <si>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</si>
  <si>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</si>
  <si>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</si>
  <si>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</si>
  <si>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</si>
  <si>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</si>
  <si>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</si>
  <si>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</si>
  <si>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</si>
  <si>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</si>
  <si>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</si>
  <si>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</si>
  <si>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</si>
  <si>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</si>
  <si>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</si>
  <si>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</si>
  <si>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</si>
  <si>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</si>
  <si>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</si>
  <si>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</si>
  <si>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</si>
  <si>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</si>
  <si>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</si>
  <si>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</si>
  <si>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</si>
  <si>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</si>
  <si>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</si>
  <si>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</si>
  <si>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</si>
  <si>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</si>
  <si>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</si>
  <si>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</si>
  <si>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</si>
  <si>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</si>
  <si>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</si>
  <si>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</si>
  <si>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</si>
  <si>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</si>
  <si>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</si>
  <si>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</si>
  <si>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</si>
  <si>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</si>
  <si>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</si>
  <si>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</si>
  <si>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</si>
  <si>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</si>
  <si>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</si>
  <si>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</si>
  <si>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</si>
  <si>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</si>
  <si>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</si>
  <si>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</si>
  <si>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</si>
  <si>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</si>
  <si>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</si>
  <si>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</si>
  <si>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</si>
  <si>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</si>
  <si>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</si>
  <si>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</si>
  <si>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</si>
  <si>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</si>
  <si>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</si>
  <si>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</si>
  <si>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</si>
  <si>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</si>
  <si>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</si>
  <si>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</si>
  <si>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</si>
  <si>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</si>
  <si>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</si>
  <si>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</si>
  <si>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</si>
  <si>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</si>
  <si>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</si>
  <si>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</si>
  <si>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</si>
  <si>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</si>
  <si>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</si>
  <si>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</si>
  <si>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</si>
  <si>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</si>
  <si>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</si>
  <si>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</si>
  <si>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</si>
  <si>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</si>
  <si>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</si>
  <si>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</si>
  <si>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</si>
  <si>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</si>
  <si>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</si>
  <si>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</si>
  <si>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</si>
  <si>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</si>
  <si>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</si>
  <si>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</si>
  <si>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</si>
  <si>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</si>
  <si>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</si>
  <si>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</si>
  <si>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</si>
  <si>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</si>
  <si>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</si>
  <si>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</si>
  <si>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</si>
  <si>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</si>
  <si>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</si>
  <si>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</si>
  <si>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</si>
  <si>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</si>
  <si>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</si>
  <si>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</si>
  <si>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</si>
  <si>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</si>
  <si>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</si>
  <si>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</si>
  <si>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</si>
  <si>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</si>
  <si>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</si>
  <si>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</si>
  <si>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</si>
  <si>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</si>
  <si>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</si>
  <si>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</si>
  <si>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</si>
  <si>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</si>
  <si>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</si>
  <si>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</si>
  <si>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</si>
  <si>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</si>
  <si>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</si>
  <si>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</si>
  <si>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</si>
  <si>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</si>
  <si>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</si>
  <si>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</si>
  <si>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</si>
  <si>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</si>
  <si>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</si>
  <si>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</si>
  <si>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</si>
  <si>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</si>
  <si>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</si>
  <si>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</si>
  <si>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</si>
  <si>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</si>
  <si>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</si>
  <si>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</si>
  <si>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</si>
  <si>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</si>
  <si>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</si>
  <si>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</si>
  <si>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</si>
  <si>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</si>
  <si>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</si>
  <si>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</si>
  <si>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</si>
  <si>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</si>
  <si>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</si>
  <si>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</si>
  <si>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</si>
  <si>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</si>
  <si>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</si>
  <si>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</si>
  <si>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</si>
  <si>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</si>
  <si>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</si>
  <si>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</si>
  <si>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</si>
  <si>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</si>
  <si>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</si>
  <si>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</si>
  <si>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</si>
  <si>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</si>
  <si>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</si>
  <si>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</si>
  <si>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</si>
  <si>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</si>
  <si>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</si>
  <si>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</si>
  <si>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</si>
  <si>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</si>
  <si>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</si>
  <si>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</si>
  <si>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</si>
  <si>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</si>
  <si>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</si>
  <si>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</si>
  <si>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</si>
  <si>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</si>
  <si>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</si>
  <si>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</si>
  <si>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</si>
  <si>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</si>
  <si>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</si>
  <si>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</si>
  <si>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</si>
  <si>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</si>
  <si>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</si>
  <si>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</si>
  <si>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</si>
  <si>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</si>
  <si>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</si>
  <si>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</si>
  <si>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</si>
  <si>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</si>
  <si>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</si>
  <si>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</si>
  <si>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</si>
  <si>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</si>
  <si>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</si>
  <si>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</si>
  <si>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</si>
  <si>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</si>
  <si>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</si>
  <si>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</si>
  <si>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</si>
  <si>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</si>
  <si>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</si>
  <si>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</si>
  <si>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</si>
  <si>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</si>
  <si>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</si>
  <si>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</si>
  <si>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</si>
  <si>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</si>
  <si>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</si>
  <si>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</si>
  <si>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</si>
  <si>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</si>
  <si>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</si>
  <si>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</si>
  <si>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</si>
  <si>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</si>
  <si>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</si>
  <si>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</si>
  <si>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</si>
  <si>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</si>
  <si>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</si>
  <si>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</si>
  <si>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</si>
  <si>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</si>
  <si>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</si>
  <si>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</si>
  <si>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</si>
  <si>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</si>
  <si>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</si>
  <si>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</si>
  <si>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</si>
  <si>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</si>
  <si>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</si>
  <si>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</si>
  <si>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</si>
  <si>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</si>
  <si>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</si>
  <si>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</si>
  <si>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</si>
  <si>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</si>
  <si>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</si>
  <si>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</si>
  <si>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</si>
  <si>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</si>
  <si>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</si>
  <si>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</si>
  <si>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</si>
  <si>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</si>
  <si>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</si>
  <si>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</si>
  <si>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</si>
  <si>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</si>
  <si>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</si>
  <si>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</si>
  <si>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</si>
  <si>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</si>
  <si>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</si>
  <si>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</si>
  <si>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</si>
  <si>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</si>
  <si>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</si>
  <si>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</si>
  <si>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</si>
  <si>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</si>
  <si>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</si>
  <si>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</si>
  <si>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</si>
  <si>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</si>
  <si>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</si>
  <si>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</si>
  <si>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</si>
  <si>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</si>
  <si>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</si>
  <si>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</si>
  <si>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</si>
  <si>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</si>
  <si>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</si>
  <si>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</si>
  <si>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</si>
  <si>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</si>
  <si>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</si>
  <si>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</si>
  <si>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</si>
  <si>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</si>
  <si>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</si>
  <si>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</si>
  <si>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</si>
  <si>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</si>
  <si>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</si>
  <si>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</si>
  <si>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</si>
  <si>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</si>
  <si>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</si>
  <si>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</si>
  <si>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</si>
  <si>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</si>
  <si>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</si>
  <si>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</si>
  <si>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</si>
  <si>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</si>
  <si>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</si>
  <si>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</si>
  <si>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</si>
  <si>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</si>
  <si>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</si>
  <si>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</si>
  <si>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</si>
  <si>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</si>
  <si>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</si>
  <si>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</si>
  <si>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</si>
  <si>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</si>
  <si>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</si>
  <si>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</si>
  <si>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</si>
  <si>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</si>
  <si>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</si>
  <si>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</si>
  <si>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</si>
  <si>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</si>
  <si>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</si>
  <si>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</si>
  <si>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</si>
  <si>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</si>
  <si>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</si>
  <si>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</si>
  <si>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</si>
  <si>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</si>
  <si>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</si>
  <si>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</si>
  <si>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</si>
  <si>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</si>
  <si>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</si>
  <si>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</si>
  <si>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</si>
  <si>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</si>
  <si>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</si>
  <si>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</si>
  <si>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</si>
  <si>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</si>
  <si>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</si>
  <si>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</si>
  <si>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</si>
  <si>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</si>
  <si>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</si>
  <si>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</si>
  <si>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</si>
  <si>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</si>
  <si>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</si>
  <si>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</si>
  <si>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</si>
  <si>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</si>
  <si>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</si>
  <si>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</si>
  <si>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</si>
  <si>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</si>
  <si>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</si>
  <si>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</si>
  <si>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</si>
  <si>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</si>
  <si>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</si>
  <si>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</si>
  <si>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</si>
  <si>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</si>
  <si>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</si>
  <si>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</si>
  <si>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</si>
  <si>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</si>
  <si>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</si>
  <si>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</si>
  <si>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</si>
  <si>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</si>
  <si>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</si>
  <si>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</si>
  <si>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</si>
  <si>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</si>
  <si>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</si>
  <si>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</si>
  <si>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</si>
  <si>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</si>
  <si>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</si>
  <si>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</si>
  <si>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</si>
  <si>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</si>
  <si>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</si>
  <si>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</si>
  <si>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</si>
  <si>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</si>
  <si>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</si>
  <si>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</si>
  <si>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</si>
  <si>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</si>
  <si>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</si>
  <si>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</si>
  <si>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</si>
  <si>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</si>
  <si>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</si>
  <si>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</si>
  <si>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</si>
  <si>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</si>
  <si>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</si>
  <si>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</si>
  <si>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</si>
  <si>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</si>
  <si>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</si>
  <si>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</si>
  <si>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</si>
  <si>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</si>
  <si>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</si>
  <si>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</si>
  <si>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</si>
  <si>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</si>
  <si>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</si>
  <si>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</si>
  <si>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</si>
  <si>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</si>
  <si>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</si>
  <si>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</si>
  <si>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</si>
  <si>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</si>
  <si>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</si>
  <si>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</si>
  <si>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</si>
  <si>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</si>
  <si>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</si>
  <si>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</si>
  <si>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</si>
  <si>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</si>
  <si>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</si>
  <si>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</si>
  <si>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</si>
  <si>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</si>
  <si>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</si>
  <si>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</si>
  <si>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</si>
  <si>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</si>
  <si>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</si>
  <si>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</si>
  <si>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</si>
  <si>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</si>
  <si>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</si>
  <si>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</si>
  <si>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</si>
  <si>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</si>
  <si>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</si>
  <si>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</si>
  <si>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</si>
  <si>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</si>
  <si>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</si>
  <si>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</si>
  <si>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</si>
  <si>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</si>
  <si>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</si>
  <si>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</si>
  <si>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</si>
  <si>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</si>
  <si>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</si>
  <si>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</si>
  <si>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</si>
  <si>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</si>
  <si>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</si>
  <si>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</si>
  <si>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</si>
  <si>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</si>
  <si>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</si>
  <si>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</si>
  <si>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</si>
  <si>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</si>
  <si>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</si>
  <si>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</si>
  <si>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</si>
  <si>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</si>
  <si>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</si>
  <si>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</si>
  <si>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</si>
  <si>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</si>
  <si>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</si>
  <si>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</si>
  <si>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</si>
  <si>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</si>
  <si>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</si>
  <si>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</si>
  <si>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</si>
  <si>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</si>
  <si>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</si>
  <si>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</si>
  <si>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</si>
  <si>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</si>
  <si>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</si>
  <si>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</si>
  <si>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</si>
  <si>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</si>
  <si>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</si>
  <si>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</si>
  <si>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</si>
  <si>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</si>
  <si>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</si>
  <si>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</si>
  <si>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</si>
  <si>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</si>
  <si>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</si>
  <si>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</si>
  <si>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</si>
  <si>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</si>
  <si>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</si>
  <si>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</si>
  <si>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</si>
  <si>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</si>
  <si>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</si>
  <si>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</si>
  <si>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</si>
  <si>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</si>
  <si>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</si>
  <si>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</si>
  <si>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</si>
  <si>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</si>
  <si>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</si>
  <si>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</si>
  <si>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</si>
  <si>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</si>
  <si>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</si>
  <si>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</si>
  <si>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</si>
  <si>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</si>
  <si>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</si>
  <si>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</si>
  <si>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</si>
  <si>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</si>
  <si>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</si>
  <si>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</si>
  <si>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</si>
  <si>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</si>
  <si>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</si>
  <si>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</si>
  <si>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</si>
  <si>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</si>
  <si>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</si>
  <si>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</si>
  <si>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</si>
  <si>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</si>
  <si>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</si>
  <si>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</si>
  <si>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</si>
  <si>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</si>
  <si>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</si>
  <si>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</si>
  <si>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</si>
  <si>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</si>
  <si>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</si>
  <si>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</si>
  <si>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</si>
  <si>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</si>
  <si>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</si>
  <si>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</si>
  <si>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</si>
  <si>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</si>
  <si>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</si>
  <si>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</si>
  <si>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</si>
  <si>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</si>
  <si>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</si>
  <si>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</si>
  <si>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</si>
  <si>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</si>
  <si>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</si>
  <si>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</si>
  <si>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</si>
  <si>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</si>
  <si>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</si>
  <si>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</si>
  <si>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</si>
  <si>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</si>
  <si>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</si>
  <si>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</si>
  <si>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</si>
  <si>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</si>
  <si>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</si>
  <si>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</si>
  <si>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</si>
  <si>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</si>
  <si>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</si>
  <si>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</si>
  <si>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</si>
  <si>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</si>
  <si>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</si>
  <si>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</si>
  <si>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</si>
  <si>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</si>
  <si>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</si>
  <si>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</si>
  <si>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</si>
  <si>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</si>
  <si>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</si>
  <si>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</si>
  <si>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</si>
  <si>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</si>
  <si>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</si>
  <si>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</si>
  <si>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</si>
  <si>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</si>
  <si>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</si>
  <si>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</si>
  <si>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</si>
  <si>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</si>
  <si>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</si>
  <si>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</si>
  <si>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</si>
  <si>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</si>
  <si>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</si>
  <si>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</si>
  <si>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</si>
  <si>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</si>
  <si>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</si>
  <si>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</si>
  <si>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</si>
  <si>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</si>
  <si>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</si>
  <si>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</si>
  <si>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</si>
  <si>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</si>
  <si>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</si>
  <si>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</si>
  <si>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</si>
  <si>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</si>
  <si>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</si>
  <si>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</si>
  <si>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</si>
  <si>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</si>
  <si>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</si>
  <si>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</si>
  <si>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</si>
  <si>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</si>
  <si>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</si>
  <si>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</si>
  <si>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</si>
  <si>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</si>
  <si>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</si>
  <si>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</si>
  <si>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</si>
  <si>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</si>
  <si>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</si>
  <si>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</si>
  <si>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</si>
  <si>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</si>
  <si>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</si>
  <si>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</si>
  <si>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</si>
  <si>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</si>
  <si>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</si>
  <si>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</si>
  <si>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</si>
  <si>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</si>
  <si>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</si>
  <si>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</si>
  <si>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</si>
  <si>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</si>
  <si>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</si>
  <si>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</si>
  <si>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</si>
  <si>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</si>
  <si>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</si>
  <si>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</si>
  <si>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</si>
  <si>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</si>
  <si>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</si>
  <si>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</si>
  <si>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</si>
  <si>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</si>
  <si>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</si>
  <si>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</si>
  <si>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</si>
  <si>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</si>
  <si>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</si>
  <si>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</si>
  <si>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</si>
  <si>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</si>
  <si>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</si>
  <si>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</si>
  <si>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</si>
  <si>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</si>
  <si>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</si>
  <si>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</si>
  <si>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</si>
  <si>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</si>
  <si>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</si>
  <si>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</si>
  <si>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</si>
  <si>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</si>
  <si>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</si>
  <si>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</si>
  <si>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</si>
  <si>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</si>
  <si>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</si>
  <si>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</si>
  <si>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</si>
  <si>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</si>
  <si>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</si>
  <si>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</si>
  <si>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</si>
  <si>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</si>
  <si>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</si>
  <si>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</si>
  <si>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</si>
  <si>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</si>
  <si>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</si>
  <si>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</si>
  <si>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</si>
  <si>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</si>
  <si>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</si>
  <si>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</si>
  <si>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</si>
  <si>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</si>
  <si>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</si>
  <si>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</si>
  <si>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</si>
  <si>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</si>
  <si>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</si>
  <si>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</si>
  <si>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</si>
  <si>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</si>
  <si>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</si>
  <si>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</si>
  <si>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</si>
  <si>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</si>
  <si>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</si>
  <si>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</si>
  <si>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</si>
  <si>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</si>
  <si>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</si>
  <si>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</si>
  <si>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</si>
  <si>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</si>
  <si>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</si>
  <si>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</si>
  <si>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</si>
  <si>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</si>
  <si>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</si>
  <si>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</si>
  <si>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</si>
  <si>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</si>
  <si>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</si>
  <si>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</si>
  <si>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</si>
  <si>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</si>
  <si>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</si>
  <si>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</si>
  <si>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</si>
  <si>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</si>
  <si>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</si>
  <si>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</si>
  <si>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</si>
  <si>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</si>
  <si>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</si>
  <si>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</si>
  <si>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</si>
  <si>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</si>
  <si>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</si>
  <si>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</si>
  <si>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</si>
  <si>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</si>
  <si>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</si>
  <si>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</si>
  <si>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</si>
  <si>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</si>
  <si>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</si>
  <si>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</si>
  <si>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</si>
  <si>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</si>
  <si>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</si>
  <si>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</si>
  <si>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</si>
  <si>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</si>
  <si>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</si>
  <si>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</si>
  <si>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</si>
  <si>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</si>
  <si>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</si>
  <si>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</si>
  <si>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</si>
  <si>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</si>
  <si>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</si>
  <si>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</si>
  <si>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</si>
  <si>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</si>
  <si>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</si>
  <si>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</si>
  <si>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</si>
  <si>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</si>
  <si>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</si>
  <si>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</si>
  <si>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</si>
  <si>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</si>
  <si>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</si>
  <si>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</si>
  <si>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</si>
  <si>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</si>
  <si>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</si>
  <si>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</si>
  <si>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</si>
  <si>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</si>
  <si>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</si>
  <si>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</si>
  <si>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</si>
  <si>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</si>
  <si>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</si>
  <si>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</si>
  <si>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</si>
  <si>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</si>
  <si>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</si>
  <si>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</si>
  <si>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</si>
  <si>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</si>
  <si>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</si>
  <si>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</si>
  <si>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</si>
  <si>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</si>
  <si>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</si>
  <si>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</si>
  <si>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</si>
  <si>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</si>
  <si>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</si>
  <si>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</si>
  <si>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</si>
  <si>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</si>
  <si>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</si>
  <si>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</si>
  <si>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</si>
  <si>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</si>
  <si>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</si>
  <si>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</si>
  <si>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</si>
  <si>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</si>
  <si>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</si>
  <si>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</si>
  <si>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</si>
  <si>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</si>
  <si>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</si>
  <si>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</si>
  <si>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</si>
  <si>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</si>
  <si>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</si>
  <si>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</si>
  <si>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</si>
  <si>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</si>
  <si>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</si>
  <si>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</si>
  <si>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</si>
  <si>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</si>
  <si>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</si>
  <si>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</si>
  <si>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</si>
  <si>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</si>
  <si>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</si>
  <si>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</si>
  <si>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</si>
  <si>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</si>
  <si>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</si>
  <si>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</si>
  <si>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</si>
  <si>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</si>
  <si>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</si>
  <si>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</si>
  <si>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</si>
  <si>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</si>
  <si>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</si>
  <si>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</si>
  <si>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</si>
  <si>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</si>
  <si>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</si>
  <si>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</si>
  <si>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</si>
  <si>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</si>
  <si>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</si>
  <si>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</si>
  <si>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</si>
  <si>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</si>
  <si>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</si>
  <si>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</si>
  <si>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</si>
  <si>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</si>
  <si>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</si>
  <si>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</si>
  <si>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</si>
  <si>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</si>
  <si>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</si>
  <si>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</si>
  <si>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</si>
  <si>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</si>
  <si>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</si>
  <si>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</si>
  <si>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</si>
  <si>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</si>
  <si>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</si>
  <si>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</si>
  <si>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</si>
  <si>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</si>
  <si>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</si>
  <si>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</si>
  <si>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</si>
  <si>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</si>
  <si>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</si>
  <si>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</si>
  <si>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</si>
  <si>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</si>
  <si>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</si>
  <si>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</si>
  <si>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</si>
  <si>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</si>
  <si>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</si>
  <si>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</si>
  <si>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</si>
  <si>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</si>
  <si>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</si>
  <si>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</si>
  <si>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</si>
  <si>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</si>
  <si>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</si>
  <si>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</si>
  <si>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</si>
  <si>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</si>
  <si>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</si>
  <si>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</si>
  <si>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</si>
  <si>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</si>
  <si>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</si>
  <si>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</si>
  <si>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</si>
  <si>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</si>
  <si>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</si>
  <si>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</si>
  <si>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</si>
  <si>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</si>
  <si>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</si>
  <si>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</si>
  <si>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</si>
  <si>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</si>
  <si>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</si>
  <si>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</si>
  <si>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</si>
  <si>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</si>
  <si>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</si>
  <si>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</si>
  <si>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</si>
  <si>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</si>
  <si>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</si>
  <si>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</si>
  <si>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</si>
  <si>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</si>
  <si>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</si>
  <si>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</si>
  <si>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</si>
  <si>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</si>
  <si>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</si>
  <si>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</si>
  <si>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</si>
  <si>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</si>
  <si>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</si>
  <si>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</si>
  <si>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</si>
  <si>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</si>
  <si>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</si>
  <si>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</si>
  <si>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</si>
  <si>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</si>
  <si>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</si>
  <si>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</si>
  <si>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</si>
  <si>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</si>
  <si>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</si>
  <si>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</si>
  <si>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</si>
  <si>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</si>
  <si>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</si>
  <si>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</si>
  <si>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</si>
  <si>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</si>
  <si>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</si>
  <si>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</si>
  <si>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</si>
  <si>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</si>
  <si>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</si>
  <si>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</si>
  <si>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</si>
  <si>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</si>
  <si>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</si>
  <si>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</si>
  <si>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</si>
  <si>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</si>
  <si>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</si>
  <si>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</si>
  <si>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</si>
  <si>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</si>
  <si>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</si>
  <si>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</si>
  <si>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</si>
  <si>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</si>
  <si>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</si>
  <si>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</si>
  <si>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</si>
  <si>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</si>
  <si>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</si>
  <si>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</si>
  <si>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</si>
  <si>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</si>
  <si>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</si>
  <si>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</si>
  <si>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</si>
  <si>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</si>
  <si>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</si>
  <si>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</si>
  <si>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</si>
  <si>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</si>
  <si>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</si>
  <si>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</si>
  <si>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</si>
  <si>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</si>
  <si>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</si>
  <si>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</si>
  <si>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</si>
  <si>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</si>
  <si>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</si>
  <si>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</si>
  <si>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</si>
  <si>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</si>
  <si>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</si>
  <si>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</si>
  <si>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</si>
  <si>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</si>
  <si>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</si>
  <si>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</si>
  <si>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</si>
  <si>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</si>
  <si>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</si>
  <si>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</si>
  <si>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</si>
  <si>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</si>
  <si>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</si>
  <si>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</si>
  <si>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</si>
  <si>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</si>
  <si>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</si>
  <si>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</si>
  <si>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</si>
  <si>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</si>
  <si>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</si>
  <si>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</si>
  <si>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</si>
  <si>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</si>
  <si>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</si>
  <si>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</si>
  <si>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</si>
  <si>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</si>
  <si>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</si>
  <si>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</si>
  <si>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</si>
  <si>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</si>
  <si>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</si>
  <si>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</si>
  <si>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</si>
  <si>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</si>
  <si>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</si>
  <si>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</si>
  <si>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</si>
  <si>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</si>
  <si>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</si>
  <si>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</si>
  <si>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</si>
  <si>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</si>
  <si>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</si>
  <si>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</si>
  <si>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</si>
  <si>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</si>
  <si>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</si>
  <si>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</si>
  <si>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</si>
  <si>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</si>
  <si>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</si>
  <si>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</si>
  <si>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</si>
  <si>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</si>
  <si>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</si>
  <si>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</si>
  <si>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</si>
  <si>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</si>
  <si>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</si>
  <si>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</si>
  <si>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</si>
  <si>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</si>
  <si>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</si>
  <si>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</si>
  <si>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</si>
  <si>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</si>
  <si>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</si>
  <si>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</si>
  <si>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</si>
  <si>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</si>
  <si>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</si>
  <si>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</si>
  <si>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</si>
  <si>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</si>
  <si>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</si>
  <si>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</si>
  <si>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</si>
  <si>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</si>
  <si>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</si>
  <si>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</si>
  <si>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</si>
  <si>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</si>
  <si>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</si>
  <si>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</si>
  <si>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</si>
  <si>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</si>
  <si>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</si>
  <si>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</si>
  <si>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</si>
  <si>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</si>
  <si>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</si>
  <si>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</si>
  <si>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</si>
  <si>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</si>
  <si>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</si>
  <si>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</si>
  <si>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</si>
  <si>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</si>
  <si>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</si>
  <si>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</si>
  <si>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</si>
  <si>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</si>
  <si>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</si>
  <si>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</si>
  <si>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</si>
  <si>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</si>
  <si>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</si>
  <si>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</si>
  <si>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</si>
  <si>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</si>
  <si>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</si>
  <si>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</si>
  <si>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</si>
  <si>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</si>
  <si>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</si>
  <si>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</si>
  <si>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</si>
  <si>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</si>
  <si>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</si>
  <si>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</si>
  <si>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</si>
  <si>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</si>
  <si>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</si>
  <si>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</si>
  <si>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</si>
  <si>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</si>
  <si>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</si>
  <si>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</si>
  <si>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</si>
  <si>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</si>
  <si>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</si>
  <si>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</si>
  <si>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</si>
  <si>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</si>
  <si>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</si>
  <si>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</si>
  <si>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</si>
  <si>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</si>
  <si>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</si>
  <si>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</si>
  <si>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</si>
  <si>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</si>
  <si>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</si>
  <si>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</si>
  <si>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</si>
  <si>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</si>
  <si>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</si>
  <si>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</si>
  <si>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</si>
  <si>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</si>
  <si>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</si>
  <si>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</si>
  <si>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</si>
  <si>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</si>
  <si>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</si>
  <si>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</si>
  <si>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</si>
  <si>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</si>
  <si>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</si>
  <si>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</si>
  <si>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</si>
  <si>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</si>
  <si>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</si>
  <si>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</si>
  <si>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</si>
  <si>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</si>
  <si>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</si>
  <si>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</si>
  <si>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</si>
  <si>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</si>
  <si>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</si>
  <si>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</si>
  <si>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</si>
  <si>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</si>
  <si>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</si>
  <si>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</si>
  <si>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</si>
  <si>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</si>
  <si>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</si>
  <si>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</si>
  <si>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</si>
  <si>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</si>
  <si>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</si>
  <si>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</si>
  <si>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</si>
  <si>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</si>
  <si>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</si>
  <si>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</si>
  <si>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</si>
  <si>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</si>
  <si>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</si>
  <si>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</si>
  <si>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</si>
  <si>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</si>
  <si>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</si>
  <si>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</si>
  <si>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</si>
  <si>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</si>
  <si>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</si>
  <si>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</si>
  <si>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</si>
  <si>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</si>
  <si>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</si>
  <si>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</si>
  <si>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</si>
  <si>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</si>
  <si>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</si>
  <si>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</si>
  <si>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</si>
  <si>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</si>
  <si>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</si>
  <si>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</si>
  <si>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</si>
  <si>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</si>
  <si>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</si>
  <si>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</si>
  <si>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</si>
  <si>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</si>
  <si>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</si>
  <si>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</si>
  <si>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</si>
  <si>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</si>
  <si>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</si>
  <si>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</si>
  <si>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</si>
  <si>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</si>
  <si>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</si>
  <si>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</si>
  <si>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</si>
  <si>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</si>
  <si>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</si>
  <si>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</si>
  <si>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</si>
  <si>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</si>
  <si>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</si>
  <si>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</si>
  <si>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</si>
  <si>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</si>
  <si>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</si>
  <si>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</si>
  <si>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</si>
  <si>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</si>
  <si>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</si>
  <si>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</si>
  <si>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</si>
  <si>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</si>
  <si>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</si>
  <si>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</si>
  <si>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</si>
  <si>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</si>
  <si>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</si>
  <si>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</si>
  <si>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</si>
  <si>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</si>
  <si>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</si>
  <si>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</si>
  <si>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</si>
  <si>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</si>
  <si>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</si>
  <si>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</si>
  <si>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</si>
  <si>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</si>
  <si>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</si>
  <si>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</si>
  <si>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</si>
  <si>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</si>
  <si>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</si>
  <si>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</si>
  <si>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</si>
  <si>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</si>
  <si>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</si>
  <si>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</si>
  <si>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</si>
  <si>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</si>
  <si>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</si>
  <si>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</si>
  <si>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</si>
  <si>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</si>
  <si>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</si>
  <si>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</si>
  <si>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</si>
  <si>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</si>
  <si>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</si>
  <si>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</si>
  <si>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</si>
  <si>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</si>
  <si>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</si>
  <si>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</si>
  <si>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</si>
  <si>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</si>
  <si>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</si>
  <si>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</si>
  <si>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</si>
  <si>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</si>
  <si>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</si>
  <si>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</si>
  <si>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</si>
  <si>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</si>
  <si>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</si>
  <si>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</si>
  <si>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</si>
  <si>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</si>
  <si>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</si>
  <si>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</si>
  <si>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</si>
  <si>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</si>
  <si>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</si>
  <si>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</si>
  <si>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</si>
  <si>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</si>
  <si>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</si>
  <si>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</si>
  <si>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</si>
  <si>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</si>
  <si>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</si>
  <si>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</si>
  <si>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</si>
  <si>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</si>
  <si>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</si>
  <si>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</si>
  <si>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</si>
  <si>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</si>
  <si>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</si>
  <si>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</si>
  <si>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</si>
  <si>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</si>
  <si>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</si>
  <si>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</si>
  <si>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</si>
  <si>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</si>
  <si>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</si>
  <si>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</si>
  <si>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</si>
  <si>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</si>
  <si>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</si>
  <si>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</si>
  <si>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</si>
  <si>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</si>
  <si>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</si>
  <si>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</si>
  <si>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</si>
  <si>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</si>
  <si>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</si>
  <si>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</si>
  <si>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</si>
  <si>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</si>
  <si>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</si>
  <si>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</si>
  <si>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</si>
  <si>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</si>
  <si>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</si>
  <si>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</si>
  <si>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</si>
  <si>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</si>
  <si>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</si>
  <si>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</si>
  <si>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</si>
  <si>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</si>
  <si>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</si>
  <si>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</si>
  <si>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</si>
  <si>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</si>
  <si>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</si>
  <si>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</si>
  <si>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</si>
  <si>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</si>
  <si>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</si>
  <si>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</si>
  <si>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</si>
  <si>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</si>
  <si>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</si>
  <si>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</si>
  <si>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</si>
  <si>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</si>
  <si>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</si>
  <si>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</si>
  <si>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</si>
  <si>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</si>
  <si>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</si>
  <si>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</si>
  <si>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</si>
  <si>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</si>
  <si>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</si>
  <si>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</si>
  <si>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</si>
  <si>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</si>
  <si>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</si>
  <si>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</si>
  <si>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</si>
  <si>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</si>
  <si>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</si>
  <si>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</si>
  <si>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</si>
  <si>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</si>
  <si>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</si>
  <si>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</si>
  <si>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</si>
  <si>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</si>
  <si>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</si>
  <si>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</si>
  <si>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</si>
  <si>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</si>
  <si>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</si>
  <si>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</si>
  <si>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</si>
  <si>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</si>
  <si>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</si>
  <si>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</si>
  <si>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</si>
  <si>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</si>
  <si>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</si>
  <si>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</si>
  <si>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</si>
  <si>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</si>
  <si>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</si>
  <si>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</si>
  <si>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</si>
  <si>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</si>
  <si>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</si>
  <si>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</si>
  <si>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</si>
  <si>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</si>
  <si>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</si>
  <si>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</si>
  <si>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</si>
  <si>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</si>
  <si>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</si>
  <si>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</si>
  <si>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</si>
  <si>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</si>
  <si>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</si>
  <si>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</si>
  <si>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</si>
  <si>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</si>
  <si>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</si>
  <si>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</si>
  <si>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</si>
  <si>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</si>
  <si>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</si>
  <si>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</si>
  <si>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</si>
  <si>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</si>
  <si>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</si>
  <si>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</si>
  <si>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</si>
  <si>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</si>
  <si>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</si>
  <si>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</si>
  <si>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</si>
  <si>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</si>
  <si>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</si>
  <si>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</si>
  <si>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</si>
  <si>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</si>
  <si>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</si>
  <si>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</si>
  <si>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</si>
  <si>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</si>
  <si>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</si>
  <si>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</si>
  <si>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</si>
  <si>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</si>
  <si>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</si>
  <si>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</si>
  <si>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</si>
  <si>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</si>
  <si>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</si>
  <si>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</si>
  <si>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</si>
  <si>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</si>
  <si>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</si>
  <si>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</si>
  <si>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</si>
  <si>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</si>
  <si>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</si>
  <si>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</si>
  <si>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</si>
  <si>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</si>
  <si>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</si>
  <si>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</si>
  <si>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</si>
  <si>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</si>
  <si>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</si>
  <si>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</si>
  <si>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</si>
  <si>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</si>
  <si>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</si>
  <si>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</si>
  <si>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</si>
  <si>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</si>
  <si>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</si>
  <si>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</si>
  <si>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</si>
  <si>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</si>
  <si>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</si>
  <si>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</si>
  <si>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</si>
  <si>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</si>
  <si>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</si>
  <si>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</si>
  <si>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</si>
  <si>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</si>
  <si>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</si>
  <si>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</si>
  <si>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</si>
  <si>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</si>
  <si>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</si>
  <si>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</si>
  <si>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</si>
  <si>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</si>
  <si>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</si>
  <si>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</si>
  <si>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</si>
  <si>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</si>
  <si>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</si>
  <si>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</si>
  <si>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</si>
  <si>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</si>
  <si>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</si>
  <si>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</si>
  <si>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</si>
  <si>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</si>
  <si>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</si>
  <si>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</si>
  <si>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</si>
  <si>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</si>
  <si>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</si>
  <si>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</si>
  <si>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</si>
  <si>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</si>
  <si>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</si>
  <si>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</si>
  <si>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</si>
  <si>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</si>
  <si>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</si>
  <si>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</si>
  <si>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</si>
  <si>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</si>
  <si>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</si>
  <si>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</si>
  <si>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</si>
  <si>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</si>
  <si>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</si>
  <si>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</si>
  <si>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</si>
  <si>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</si>
  <si>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</si>
  <si>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</si>
  <si>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</si>
  <si>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</si>
  <si>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</si>
  <si>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</si>
  <si>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</si>
  <si>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</si>
  <si>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</si>
  <si>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</si>
  <si>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</si>
  <si>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</si>
  <si>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</si>
  <si>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</si>
  <si>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</si>
  <si>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</si>
  <si>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</si>
  <si>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</si>
  <si>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</si>
  <si>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</si>
  <si>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</si>
  <si>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</si>
  <si>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</si>
  <si>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</si>
  <si>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</si>
  <si>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</si>
  <si>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</si>
  <si>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</si>
  <si>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</si>
  <si>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</si>
  <si>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</si>
  <si>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</si>
  <si>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</si>
  <si>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</si>
  <si>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</si>
  <si>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</si>
  <si>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</si>
  <si>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</si>
  <si>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</si>
  <si>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</si>
  <si>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</si>
  <si>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</si>
  <si>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</si>
  <si>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</si>
  <si>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</si>
  <si>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</si>
  <si>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</si>
  <si>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</si>
  <si>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</si>
  <si>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</si>
  <si>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</si>
  <si>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</si>
  <si>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</si>
  <si>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</si>
  <si>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</si>
  <si>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</si>
  <si>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</si>
  <si>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</si>
  <si>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</si>
  <si>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</si>
  <si>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</si>
  <si>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</si>
  <si>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</si>
  <si>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</si>
  <si>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</si>
  <si>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</si>
  <si>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</si>
  <si>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</si>
  <si>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</si>
  <si>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</si>
  <si>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</si>
  <si>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</si>
  <si>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</si>
  <si>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</si>
  <si>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</si>
  <si>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</si>
  <si>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</si>
  <si>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</si>
  <si>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</si>
  <si>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</si>
  <si>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</si>
  <si>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</si>
  <si>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</si>
  <si>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</si>
  <si>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</si>
  <si>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</si>
  <si>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</si>
  <si>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</si>
  <si>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</si>
  <si>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</si>
  <si>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</si>
  <si>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</si>
  <si>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</si>
  <si>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</si>
  <si>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</si>
  <si>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</si>
  <si>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</si>
  <si>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</si>
  <si>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</si>
  <si>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</si>
  <si>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</si>
  <si>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</si>
  <si>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</si>
  <si>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</si>
  <si>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</si>
  <si>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</si>
  <si>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</si>
  <si>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</si>
  <si>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</si>
  <si>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</si>
  <si>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</si>
  <si>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</si>
  <si>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</si>
  <si>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</si>
  <si>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</si>
  <si>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</si>
  <si>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</si>
  <si>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</si>
  <si>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</si>
  <si>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</si>
  <si>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</si>
  <si>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</si>
  <si>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</si>
  <si>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</si>
  <si>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</si>
  <si>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</si>
  <si>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</si>
  <si>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</si>
  <si>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</si>
  <si>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</si>
  <si>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</si>
  <si>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</si>
  <si>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</si>
  <si>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</si>
  <si>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</si>
  <si>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</si>
  <si>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</si>
  <si>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</si>
  <si>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</si>
  <si>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</si>
  <si>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</si>
  <si>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</si>
  <si>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</si>
  <si>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</si>
  <si>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</si>
  <si>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</si>
  <si>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</si>
  <si>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</si>
  <si>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</si>
  <si>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</si>
  <si>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</si>
  <si>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</si>
  <si>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</si>
  <si>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</si>
  <si>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</si>
  <si>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</si>
  <si>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</si>
  <si>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</si>
  <si>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</si>
  <si>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</si>
  <si>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</si>
  <si>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</si>
  <si>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</si>
  <si>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</si>
  <si>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</si>
  <si>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</si>
  <si>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</si>
  <si>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</si>
  <si>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</si>
  <si>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</si>
  <si>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</si>
  <si>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</si>
  <si>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</si>
  <si>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</si>
  <si>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</si>
  <si>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</si>
  <si>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</si>
  <si>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</si>
  <si>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</si>
  <si>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</si>
  <si>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</si>
  <si>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</si>
  <si>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</si>
  <si>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</si>
  <si>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</si>
  <si>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</si>
  <si>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</si>
  <si>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</si>
  <si>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</si>
  <si>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</si>
  <si>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</si>
  <si>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</si>
  <si>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</si>
  <si>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</si>
  <si>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</si>
  <si>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</si>
  <si>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</si>
  <si>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</si>
  <si>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</si>
  <si>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</si>
  <si>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</si>
  <si>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</si>
  <si>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</si>
  <si>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</si>
  <si>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</si>
  <si>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</si>
  <si>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</si>
  <si>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</si>
  <si>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</si>
  <si>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</si>
  <si>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</si>
  <si>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</si>
  <si>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</si>
  <si>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</si>
  <si>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</si>
  <si>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</si>
  <si>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</si>
  <si>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</si>
  <si>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</si>
  <si>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</si>
  <si>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</si>
  <si>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</si>
  <si>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</si>
  <si>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</si>
  <si>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</si>
  <si>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</si>
  <si>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</si>
  <si>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</si>
  <si>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</si>
  <si>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</si>
  <si>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</si>
  <si>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</si>
  <si>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</si>
  <si>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</si>
  <si>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</si>
  <si>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</si>
  <si>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</si>
  <si>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</si>
  <si>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</si>
  <si>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</si>
  <si>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</si>
  <si>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</si>
  <si>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</si>
  <si>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</si>
  <si>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</si>
  <si>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</si>
  <si>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</si>
  <si>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</si>
  <si>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</si>
  <si>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</si>
  <si>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</si>
  <si>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</si>
  <si>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</si>
  <si>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</si>
  <si>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</si>
  <si>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</si>
  <si>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</si>
  <si>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</si>
  <si>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</si>
  <si>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</si>
  <si>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</si>
  <si>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</si>
  <si>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</si>
  <si>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</si>
  <si>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</si>
  <si>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</si>
  <si>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</si>
  <si>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</si>
  <si>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</si>
  <si>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</si>
  <si>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</si>
  <si>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</si>
  <si>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</si>
  <si>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</si>
  <si>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</si>
  <si>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</si>
  <si>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</si>
  <si>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</si>
  <si>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</si>
  <si>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</si>
  <si>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</si>
  <si>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</si>
  <si>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</si>
  <si>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</si>
  <si>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</si>
  <si>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</si>
  <si>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</si>
  <si>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</si>
  <si>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</si>
  <si>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</si>
  <si>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</si>
  <si>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</si>
  <si>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</si>
  <si>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</si>
  <si>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</si>
  <si>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</si>
  <si>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</si>
  <si>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</si>
  <si>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</si>
  <si>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</si>
  <si>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</si>
  <si>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</si>
  <si>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</si>
  <si>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</si>
  <si>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</si>
  <si>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</si>
  <si>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</si>
  <si>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</si>
  <si>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</si>
  <si>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</si>
  <si>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</si>
  <si>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</si>
  <si>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</si>
  <si>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</si>
  <si>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</si>
  <si>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</si>
  <si>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</si>
  <si>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</si>
  <si>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</si>
  <si>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</si>
  <si>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</si>
  <si>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</si>
  <si>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</si>
  <si>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</si>
  <si>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</si>
  <si>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</si>
  <si>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</si>
  <si>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</si>
  <si>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</si>
  <si>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</si>
  <si>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</si>
  <si>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</si>
  <si>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</si>
  <si>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</si>
  <si>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</si>
  <si>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</si>
  <si>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</si>
  <si>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</si>
  <si>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</si>
  <si>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</si>
  <si>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</si>
  <si>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</si>
  <si>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</si>
  <si>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</si>
  <si>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</si>
  <si>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</si>
  <si>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</si>
  <si>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</si>
  <si>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</si>
  <si>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</si>
  <si>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</si>
  <si>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</si>
  <si>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</si>
  <si>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</si>
  <si>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</si>
  <si>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</si>
  <si>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</si>
  <si>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</si>
  <si>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</si>
  <si>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</si>
  <si>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</si>
  <si>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</si>
  <si>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</si>
  <si>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</si>
  <si>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</si>
  <si>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</si>
  <si>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</si>
  <si>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</si>
  <si>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</si>
  <si>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</si>
  <si>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</si>
  <si>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</si>
  <si>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</si>
  <si>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</si>
  <si>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</si>
  <si>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</si>
  <si>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</si>
  <si>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</si>
  <si>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</si>
  <si>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</si>
  <si>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</si>
  <si>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</si>
  <si>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</si>
  <si>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</si>
  <si>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</si>
  <si>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</si>
  <si>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</si>
  <si>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</si>
  <si>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</si>
  <si>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</si>
  <si>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</si>
  <si>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</si>
  <si>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</si>
  <si>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</si>
  <si>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</si>
  <si>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</si>
  <si>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</si>
  <si>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</si>
  <si>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</si>
  <si>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</si>
  <si>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</si>
  <si>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</si>
  <si>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</si>
  <si>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</si>
  <si>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</si>
  <si>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</si>
  <si>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</si>
  <si>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</si>
  <si>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</si>
  <si>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</si>
  <si>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</si>
  <si>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</si>
  <si>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</si>
  <si>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</si>
  <si>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</si>
  <si>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</si>
  <si>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</si>
  <si>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</si>
  <si>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</si>
  <si>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</si>
  <si>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</si>
  <si>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</si>
  <si>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</si>
  <si>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</si>
  <si>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</si>
  <si>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</si>
  <si>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</si>
  <si>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</si>
  <si>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</si>
  <si>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</si>
  <si>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</si>
  <si>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</si>
  <si>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</si>
  <si>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</si>
  <si>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</si>
  <si>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</si>
  <si>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</si>
  <si>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</si>
  <si>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</si>
  <si>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</si>
  <si>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</si>
  <si>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</si>
  <si>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</si>
  <si>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</si>
  <si>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</si>
  <si>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</si>
  <si>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</si>
  <si>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</si>
  <si>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</si>
  <si>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</si>
  <si>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</si>
  <si>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</si>
  <si>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</si>
  <si>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</si>
  <si>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</si>
  <si>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</si>
  <si>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</si>
  <si>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</si>
  <si>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</si>
  <si>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</si>
  <si>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</si>
  <si>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</si>
  <si>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</si>
  <si>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</si>
  <si>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</si>
  <si>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</si>
  <si>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</si>
  <si>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</si>
  <si>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</si>
  <si>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</si>
  <si>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</si>
  <si>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</si>
  <si>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</si>
  <si>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</si>
  <si>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</si>
  <si>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</si>
  <si>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</si>
  <si>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</si>
  <si>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</si>
  <si>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</si>
  <si>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</si>
  <si>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</si>
  <si>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</si>
  <si>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</si>
  <si>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</si>
  <si>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</si>
  <si>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</si>
  <si>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</si>
  <si>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</si>
  <si>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</si>
  <si>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</si>
  <si>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</si>
  <si>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</si>
  <si>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</si>
  <si>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</si>
  <si>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</si>
  <si>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</si>
  <si>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</si>
  <si>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</si>
  <si>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</si>
  <si>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</si>
  <si>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</si>
  <si>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</si>
  <si>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</si>
  <si>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</si>
  <si>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</si>
  <si>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</si>
  <si>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</si>
  <si>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</si>
  <si>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</si>
  <si>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</si>
  <si>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</si>
  <si>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</si>
  <si>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</si>
  <si>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</si>
  <si>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</si>
  <si>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</si>
  <si>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</si>
  <si>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</si>
  <si>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</si>
  <si>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</si>
  <si>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</si>
  <si>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</si>
  <si>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</si>
  <si>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</si>
  <si>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</si>
  <si>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</si>
  <si>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</si>
  <si>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</si>
  <si>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</si>
  <si>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</si>
  <si>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</si>
  <si>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</si>
  <si>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</si>
  <si>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</si>
  <si>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</si>
  <si>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</si>
  <si>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</si>
  <si>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</si>
  <si>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</si>
  <si>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</si>
  <si>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</si>
  <si>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</si>
  <si>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</si>
  <si>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</si>
  <si>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</si>
  <si>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</si>
  <si>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</si>
  <si>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</si>
  <si>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</si>
  <si>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</si>
  <si>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</si>
  <si>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</si>
  <si>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</si>
  <si>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</si>
  <si>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</si>
  <si>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</si>
  <si>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</si>
  <si>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</si>
  <si>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</si>
  <si>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</si>
  <si>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</si>
  <si>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</si>
  <si>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</si>
  <si>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</si>
  <si>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</si>
  <si>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</si>
  <si>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</si>
  <si>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</si>
  <si>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</si>
  <si>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</si>
  <si>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</si>
  <si>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</si>
  <si>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</si>
  <si>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</si>
  <si>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</si>
  <si>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</si>
  <si>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</si>
  <si>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</si>
  <si>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</si>
  <si>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</si>
  <si>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</si>
  <si>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</si>
  <si>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</si>
  <si>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</si>
  <si>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</si>
  <si>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</si>
  <si>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</si>
  <si>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</si>
  <si>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</si>
  <si>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</si>
  <si>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</si>
  <si>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</si>
  <si>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</si>
  <si>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</si>
  <si>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</si>
  <si>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</si>
  <si>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</si>
  <si>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</si>
  <si>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</si>
  <si>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</si>
  <si>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</si>
  <si>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</si>
  <si>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</si>
  <si>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</si>
  <si>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</si>
  <si>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</si>
  <si>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</si>
  <si>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</si>
  <si>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</si>
  <si>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</si>
  <si>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</si>
  <si>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</si>
  <si>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</si>
  <si>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</si>
  <si>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</si>
  <si>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</si>
  <si>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</si>
  <si>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</si>
  <si>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</si>
  <si>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</si>
  <si>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</si>
  <si>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</si>
  <si>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</si>
  <si>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</si>
  <si>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</si>
  <si>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</si>
  <si>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</si>
  <si>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</si>
  <si>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</si>
  <si>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</si>
  <si>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</si>
  <si>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</si>
  <si>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</si>
  <si>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</si>
  <si>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</si>
  <si>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</si>
  <si>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</si>
  <si>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</si>
  <si>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</si>
  <si>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</si>
  <si>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</si>
  <si>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</si>
  <si>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</si>
  <si>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</si>
  <si>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</si>
  <si>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</si>
  <si>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</si>
  <si>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</si>
  <si>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</si>
  <si>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</si>
  <si>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</si>
  <si>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</si>
  <si>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</si>
  <si>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</si>
  <si>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</si>
  <si>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</si>
  <si>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</si>
  <si>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</si>
  <si>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</si>
  <si>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</si>
  <si>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</si>
  <si>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</si>
  <si>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</si>
  <si>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</si>
  <si>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</si>
  <si>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</si>
  <si>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</si>
  <si>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</si>
  <si>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</si>
  <si>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</si>
  <si>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</si>
  <si>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</si>
  <si>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</si>
  <si>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</si>
  <si>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</si>
  <si>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</si>
  <si>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</si>
  <si>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</si>
  <si>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</si>
  <si>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</si>
  <si>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</si>
  <si>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</si>
  <si>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</si>
  <si>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</si>
  <si>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</si>
  <si>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</si>
  <si>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</si>
  <si>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</si>
  <si>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</si>
  <si>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</si>
  <si>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</si>
  <si>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</si>
  <si>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</si>
  <si>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</si>
  <si>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</si>
  <si>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</si>
  <si>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</si>
  <si>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</si>
  <si>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</si>
  <si>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</si>
  <si>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</si>
  <si>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</si>
  <si>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</si>
  <si>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</si>
  <si>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</si>
  <si>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</si>
  <si>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</si>
  <si>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</si>
  <si>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</si>
  <si>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</si>
  <si>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</si>
  <si>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</si>
  <si>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</si>
  <si>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</si>
  <si>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</si>
  <si>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</si>
  <si>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</si>
  <si>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</si>
  <si>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</si>
  <si>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</si>
  <si>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</si>
  <si>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</si>
  <si>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</si>
  <si>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</si>
  <si>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</si>
  <si>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</si>
  <si>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</si>
  <si>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</si>
  <si>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</si>
  <si>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</si>
  <si>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</si>
  <si>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</si>
  <si>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</si>
  <si>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</si>
  <si>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</si>
  <si>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</si>
  <si>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</si>
  <si>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</si>
  <si>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</si>
  <si>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</si>
  <si>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</si>
  <si>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</si>
  <si>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</si>
  <si>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</si>
  <si>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</si>
  <si>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</si>
  <si>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</si>
  <si>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</si>
  <si>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</si>
  <si>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</si>
  <si>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</si>
  <si>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</si>
  <si>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</si>
  <si>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</si>
  <si>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</si>
  <si>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</si>
  <si>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</si>
  <si>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</si>
  <si>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</si>
  <si>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</si>
  <si>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</si>
  <si>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</si>
  <si>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</si>
  <si>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</si>
  <si>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</si>
  <si>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</si>
  <si>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</si>
  <si>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</si>
  <si>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</si>
  <si>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</si>
  <si>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</si>
  <si>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</si>
  <si>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</si>
  <si>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</si>
  <si>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</si>
  <si>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</si>
  <si>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</si>
  <si>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</si>
  <si>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</si>
  <si>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</si>
  <si>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</si>
  <si>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</si>
  <si>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</si>
  <si>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</si>
  <si>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</si>
  <si>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</si>
  <si>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</si>
  <si>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</si>
  <si>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</si>
  <si>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</si>
  <si>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</si>
  <si>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</si>
  <si>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</si>
  <si>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</si>
  <si>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</si>
  <si>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</si>
  <si>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</si>
  <si>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</si>
  <si>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</si>
  <si>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</si>
  <si>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</si>
  <si>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</si>
  <si>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</si>
  <si>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</si>
  <si>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</si>
  <si>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</si>
  <si>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</si>
  <si>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</si>
  <si>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</si>
  <si>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</si>
  <si>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</si>
  <si>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</si>
  <si>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</si>
  <si>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</si>
  <si>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</si>
  <si>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</si>
  <si>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</si>
  <si>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</si>
  <si>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</si>
  <si>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</si>
  <si>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</si>
  <si>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</si>
  <si>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</si>
  <si>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</si>
  <si>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</si>
  <si>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</si>
  <si>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</si>
  <si>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</si>
  <si>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</si>
  <si>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</si>
  <si>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</si>
  <si>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</si>
  <si>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</si>
  <si>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</si>
  <si>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</si>
  <si>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</si>
  <si>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</si>
  <si>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</si>
  <si>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</si>
  <si>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</si>
  <si>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</si>
  <si>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</si>
  <si>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</si>
  <si>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</si>
  <si>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</si>
  <si>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</si>
  <si>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</si>
  <si>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</si>
  <si>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</si>
  <si>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</si>
  <si>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</si>
  <si>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</si>
  <si>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</si>
  <si>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</si>
  <si>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</si>
  <si>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</si>
  <si>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</si>
  <si>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</si>
  <si>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</si>
  <si>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</si>
  <si>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</si>
  <si>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</si>
  <si>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</si>
  <si>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</si>
  <si>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</si>
  <si>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</si>
  <si>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</si>
  <si>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</si>
  <si>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</si>
  <si>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</si>
  <si>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</si>
  <si>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</si>
  <si>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</si>
  <si>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</si>
  <si>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</si>
  <si>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</si>
  <si>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</si>
  <si>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</si>
  <si>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</si>
  <si>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</si>
  <si>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</si>
  <si>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</si>
  <si>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</si>
  <si>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</si>
  <si>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</si>
  <si>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</si>
  <si>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</si>
  <si>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</si>
  <si>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</si>
  <si>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</si>
  <si>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</si>
  <si>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</si>
  <si>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</si>
  <si>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</si>
  <si>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</si>
  <si>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</si>
  <si>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</si>
  <si>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</si>
  <si>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</si>
  <si>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</si>
  <si>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</si>
  <si>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</si>
  <si>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</si>
  <si>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</si>
  <si>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</si>
  <si>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</si>
  <si>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</si>
  <si>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</si>
  <si>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</si>
  <si>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</si>
  <si>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</si>
  <si>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</si>
  <si>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</si>
  <si>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</si>
  <si>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</si>
  <si>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</si>
  <si>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</si>
  <si>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</si>
  <si>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</si>
  <si>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</si>
  <si>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</si>
  <si>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</si>
  <si>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</si>
  <si>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</si>
  <si>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</si>
  <si>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</si>
  <si>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</si>
  <si>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</si>
  <si>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</si>
  <si>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</si>
  <si>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</si>
  <si>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</si>
  <si>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</si>
  <si>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</si>
  <si>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</si>
  <si>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</si>
  <si>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</si>
  <si>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</si>
  <si>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</si>
  <si>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</si>
  <si>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</si>
  <si>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</si>
  <si>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</si>
  <si>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</si>
  <si>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</si>
  <si>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</si>
  <si>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</si>
  <si>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</si>
  <si>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</si>
  <si>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</si>
  <si>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</si>
  <si>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</si>
  <si>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</si>
  <si>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</si>
  <si>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</si>
  <si>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</si>
  <si>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</si>
  <si>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</si>
  <si>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</si>
  <si>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</si>
  <si>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</si>
  <si>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</si>
  <si>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</si>
  <si>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</si>
  <si>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</si>
  <si>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</si>
  <si>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</si>
  <si>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</si>
  <si>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</si>
  <si>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</si>
  <si>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</si>
  <si>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</si>
  <si>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</si>
  <si>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</si>
  <si>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</si>
  <si>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</si>
  <si>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</si>
  <si>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</si>
  <si>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</si>
  <si>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</si>
  <si>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</si>
  <si>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</si>
  <si>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</si>
  <si>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</si>
  <si>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</si>
  <si>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</si>
  <si>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</si>
  <si>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</si>
  <si>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</si>
  <si>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</si>
  <si>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</si>
  <si>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</si>
  <si>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</si>
  <si>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</si>
  <si>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</si>
  <si>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</si>
  <si>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</si>
  <si>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</si>
  <si>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</si>
  <si>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</si>
  <si>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</si>
  <si>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</si>
  <si>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</si>
  <si>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</si>
  <si>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</si>
  <si>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</si>
  <si>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</si>
  <si>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</si>
  <si>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</si>
  <si>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</si>
  <si>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</si>
  <si>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</si>
  <si>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</si>
  <si>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</si>
  <si>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</si>
  <si>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</si>
  <si>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</si>
  <si>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</si>
  <si>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</si>
  <si>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</si>
  <si>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</si>
  <si>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</si>
  <si>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</si>
  <si>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</si>
  <si>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</si>
  <si>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</si>
  <si>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</si>
  <si>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</si>
  <si>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</si>
  <si>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</si>
  <si>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</si>
  <si>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</si>
  <si>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</si>
  <si>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</si>
  <si>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</si>
  <si>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</si>
  <si>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</si>
  <si>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</si>
  <si>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</si>
  <si>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</si>
  <si>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</si>
  <si>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</si>
  <si>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</si>
  <si>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</si>
  <si>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</si>
  <si>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</si>
  <si>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</si>
  <si>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</si>
  <si>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</si>
  <si>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</si>
  <si>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</si>
  <si>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</si>
  <si>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</si>
  <si>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</si>
  <si>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</si>
  <si>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</si>
  <si>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</si>
  <si>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</si>
  <si>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</si>
  <si>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</si>
  <si>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</si>
  <si>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</si>
  <si>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</si>
  <si>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</si>
  <si>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</si>
  <si>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</si>
  <si>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</si>
  <si>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</si>
  <si>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</si>
  <si>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</si>
  <si>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</si>
  <si>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</si>
  <si>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</si>
  <si>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</si>
  <si>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</si>
  <si>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</si>
  <si>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</si>
  <si>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</si>
  <si>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</si>
  <si>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</si>
  <si>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</si>
  <si>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</si>
  <si>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</si>
  <si>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</si>
  <si>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</si>
  <si>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</si>
  <si>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</si>
  <si>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</si>
  <si>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</si>
  <si>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</si>
  <si>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</si>
  <si>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</si>
  <si>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</si>
  <si>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</si>
  <si>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</si>
  <si>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</si>
  <si>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</si>
  <si>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</si>
  <si>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</si>
  <si>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</si>
  <si>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</si>
  <si>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</si>
  <si>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</si>
  <si>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</si>
  <si>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</si>
  <si>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</si>
  <si>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</si>
  <si>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</si>
  <si>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</si>
  <si>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</si>
  <si>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</si>
  <si>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</si>
  <si>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</si>
  <si>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</si>
  <si>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</si>
  <si>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</si>
  <si>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</si>
  <si>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</si>
  <si>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</si>
  <si>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</si>
  <si>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</si>
  <si>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</si>
  <si>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</si>
  <si>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</si>
  <si>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</si>
  <si>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</si>
  <si>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</si>
  <si>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</si>
  <si>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</si>
  <si>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</si>
  <si>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</si>
  <si>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</si>
  <si>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</si>
  <si>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</si>
  <si>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</si>
  <si>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</si>
  <si>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</si>
  <si>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</si>
  <si>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</si>
  <si>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</si>
  <si>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</si>
  <si>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</si>
  <si>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</si>
  <si>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</si>
  <si>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</si>
  <si>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</si>
  <si>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</si>
  <si>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</si>
  <si>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</si>
  <si>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</si>
  <si>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</si>
  <si>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</si>
  <si>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</si>
  <si>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</si>
  <si>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</si>
  <si>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</si>
  <si>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</si>
  <si>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</si>
  <si>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</si>
  <si>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</si>
  <si>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</si>
  <si>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</si>
  <si>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</si>
  <si>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</si>
  <si>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</si>
  <si>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</si>
  <si>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</si>
  <si>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</si>
  <si>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</si>
  <si>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</si>
  <si>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</si>
  <si>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</si>
  <si>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</si>
  <si>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</si>
  <si>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</si>
  <si>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</si>
  <si>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</si>
  <si>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</si>
  <si>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</si>
  <si>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</si>
  <si>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</si>
  <si>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</si>
  <si>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</si>
  <si>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</si>
  <si>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</si>
  <si>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</si>
  <si>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</si>
  <si>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</si>
  <si>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</si>
  <si>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</si>
  <si>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</si>
  <si>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</si>
  <si>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</si>
  <si>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</si>
  <si>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</si>
  <si>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</si>
  <si>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</si>
  <si>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</si>
  <si>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</si>
  <si>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</si>
  <si>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</si>
  <si>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</si>
  <si>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</si>
  <si>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</si>
  <si>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</si>
  <si>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</si>
  <si>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</si>
  <si>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</si>
  <si>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</si>
  <si>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</si>
  <si>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</si>
  <si>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</si>
  <si>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</si>
  <si>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</si>
  <si>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</si>
  <si>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</si>
  <si>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</si>
  <si>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</si>
  <si>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</si>
  <si>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</si>
  <si>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</si>
  <si>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</si>
  <si>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</si>
  <si>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</si>
  <si>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</si>
  <si>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</si>
  <si>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</si>
  <si>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</si>
  <si>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</si>
  <si>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</si>
  <si>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</si>
  <si>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</si>
  <si>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</si>
  <si>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</si>
  <si>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</si>
  <si>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</si>
  <si>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</si>
  <si>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</si>
  <si>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</si>
  <si>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</si>
  <si>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</si>
  <si>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</si>
  <si>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</si>
  <si>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</si>
  <si>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</si>
  <si>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</si>
  <si>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</si>
  <si>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</si>
  <si>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</si>
  <si>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</si>
  <si>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</si>
  <si>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</si>
  <si>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</si>
  <si>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</si>
  <si>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</si>
  <si>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</si>
  <si>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</si>
  <si>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</si>
  <si>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</si>
  <si>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</si>
  <si>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</si>
  <si>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</si>
  <si>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</si>
  <si>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</si>
  <si>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</si>
  <si>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</si>
  <si>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</si>
  <si>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</si>
  <si>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</si>
  <si>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</si>
  <si>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</si>
  <si>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</si>
  <si>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</si>
  <si>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</si>
  <si>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</si>
  <si>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</si>
  <si>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</si>
  <si>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</si>
  <si>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</si>
  <si>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</si>
  <si>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</si>
  <si>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</si>
  <si>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</si>
  <si>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</si>
  <si>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</si>
  <si>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</si>
  <si>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</si>
  <si>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</si>
  <si>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</si>
  <si>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</si>
  <si>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</si>
  <si>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</si>
  <si>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</si>
  <si>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</si>
  <si>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</si>
  <si>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</si>
  <si>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</si>
  <si>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</si>
  <si>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</si>
  <si>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</si>
  <si>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</si>
  <si>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</si>
  <si>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</si>
  <si>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</si>
  <si>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</si>
  <si>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</si>
  <si>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</si>
  <si>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</si>
  <si>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</si>
  <si>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</si>
  <si>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</si>
  <si>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</si>
  <si>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</si>
  <si>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</si>
  <si>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</si>
  <si>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</si>
  <si>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</si>
  <si>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</si>
  <si>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</si>
  <si>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</si>
  <si>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</si>
  <si>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</si>
  <si>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</si>
  <si>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</si>
  <si>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</si>
  <si>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</si>
  <si>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</si>
  <si>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</si>
  <si>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</si>
  <si>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</si>
  <si>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</si>
  <si>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</si>
  <si>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</si>
  <si>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</si>
  <si>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</si>
  <si>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</si>
  <si>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</si>
  <si>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</si>
  <si>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</si>
  <si>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</si>
  <si>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</si>
  <si>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</si>
  <si>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</si>
  <si>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</si>
  <si>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</si>
  <si>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</si>
  <si>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</si>
  <si>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</si>
  <si>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</si>
  <si>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</si>
  <si>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</si>
  <si>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</si>
  <si>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</si>
  <si>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</si>
  <si>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</si>
  <si>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</si>
  <si>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</si>
  <si>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</si>
  <si>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</si>
  <si>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</si>
  <si>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</si>
  <si>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</si>
  <si>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</si>
  <si>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</si>
  <si>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</si>
  <si>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</si>
  <si>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</si>
  <si>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</si>
  <si>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</si>
  <si>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</si>
  <si>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</si>
  <si>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</si>
  <si>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</si>
  <si>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</si>
  <si>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</si>
  <si>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</si>
  <si>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</si>
  <si>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</si>
  <si>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</si>
  <si>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</si>
  <si>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</si>
  <si>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</si>
  <si>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</si>
  <si>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</si>
  <si>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</si>
  <si>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</si>
  <si>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</si>
  <si>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</si>
  <si>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</si>
  <si>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</si>
  <si>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</si>
  <si>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</si>
  <si>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</si>
  <si>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</si>
  <si>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</si>
  <si>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</si>
  <si>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</si>
  <si>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</si>
  <si>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</si>
  <si>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</si>
  <si>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</si>
  <si>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</si>
  <si>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</si>
  <si>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</si>
  <si>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</si>
  <si>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</si>
  <si>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</si>
  <si>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</si>
  <si>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</si>
  <si>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</si>
  <si>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</si>
  <si>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</si>
  <si>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</si>
  <si>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</si>
  <si>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</si>
  <si>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</si>
  <si>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</si>
  <si>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</si>
  <si>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</si>
  <si>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</si>
  <si>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</si>
  <si>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</si>
  <si>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</si>
  <si>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</si>
  <si>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</si>
  <si>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</si>
  <si>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</si>
  <si>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</si>
  <si>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</si>
  <si>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</si>
  <si>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</si>
  <si>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</si>
  <si>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</si>
  <si>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</si>
  <si>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</si>
  <si>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</si>
  <si>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</si>
  <si>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</si>
  <si>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</si>
  <si>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</si>
  <si>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</si>
  <si>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</si>
  <si>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</si>
  <si>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</si>
  <si>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</si>
  <si>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</si>
  <si>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</si>
  <si>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</si>
  <si>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</si>
  <si>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</si>
  <si>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</si>
  <si>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</si>
  <si>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</si>
  <si>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</si>
  <si>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</si>
  <si>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</si>
  <si>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</si>
  <si>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</si>
  <si>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</si>
  <si>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</si>
  <si>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</si>
  <si>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</si>
  <si>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</si>
  <si>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</si>
  <si>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</si>
  <si>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</si>
  <si>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</si>
  <si>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</si>
  <si>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</si>
  <si>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</si>
  <si>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</si>
  <si>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</si>
  <si>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</si>
  <si>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</si>
  <si>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</si>
  <si>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</si>
  <si>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</si>
  <si>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</si>
  <si>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</si>
  <si>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</si>
  <si>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</si>
  <si>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</si>
  <si>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</si>
  <si>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</si>
  <si>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</si>
  <si>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</si>
  <si>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</si>
  <si>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</si>
  <si>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</si>
  <si>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</si>
  <si>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</si>
  <si>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</si>
  <si>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</si>
  <si>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</si>
  <si>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</si>
  <si>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</si>
  <si>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</si>
  <si>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</si>
  <si>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</si>
  <si>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</si>
  <si>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</si>
  <si>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</si>
  <si>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</si>
  <si>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</si>
  <si>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</si>
  <si>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</si>
  <si>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</si>
  <si>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</si>
  <si>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</si>
  <si>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</si>
  <si>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</si>
  <si>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</si>
  <si>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</si>
  <si>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</si>
  <si>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</si>
  <si>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</si>
  <si>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</si>
  <si>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</si>
  <si>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</si>
  <si>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</si>
  <si>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</si>
  <si>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</si>
  <si>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</si>
  <si>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</si>
  <si>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</si>
  <si>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</si>
  <si>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</si>
  <si>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</si>
  <si>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</si>
  <si>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</si>
  <si>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</si>
  <si>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</si>
  <si>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</si>
  <si>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</si>
  <si>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</si>
  <si>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</si>
  <si>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</si>
  <si>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</si>
  <si>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</si>
  <si>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</si>
  <si>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</si>
  <si>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</si>
  <si>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</si>
  <si>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</si>
  <si>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</si>
  <si>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</si>
  <si>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</si>
  <si>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</si>
  <si>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</si>
  <si>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</si>
  <si>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</si>
  <si>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</si>
  <si>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</si>
  <si>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</si>
  <si>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</si>
  <si>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</si>
  <si>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</si>
  <si>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</si>
  <si>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</si>
  <si>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</si>
  <si>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</si>
  <si>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</si>
  <si>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</si>
  <si>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</si>
  <si>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</si>
  <si>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</si>
  <si>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</si>
  <si>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</si>
  <si>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</si>
  <si>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</si>
  <si>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</si>
  <si>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</si>
  <si>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</si>
  <si>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</si>
  <si>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</si>
  <si>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</si>
  <si>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</si>
  <si>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</si>
  <si>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</si>
  <si>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</si>
  <si>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</si>
  <si>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</si>
  <si>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</si>
  <si>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</si>
  <si>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</si>
  <si>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</si>
  <si>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</si>
  <si>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</si>
  <si>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</si>
  <si>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</si>
  <si>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</si>
  <si>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</si>
  <si>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</si>
  <si>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</si>
  <si>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</si>
  <si>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</si>
  <si>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</si>
  <si>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</si>
  <si>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</si>
  <si>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</si>
  <si>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</si>
  <si>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</si>
  <si>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</si>
  <si>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</si>
  <si>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</si>
  <si>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</si>
  <si>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</si>
  <si>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</si>
  <si>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</si>
  <si>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</si>
  <si>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</si>
  <si>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</si>
  <si>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</si>
  <si>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</si>
  <si>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</si>
  <si>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</si>
  <si>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</si>
  <si>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</si>
  <si>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</si>
  <si>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</si>
  <si>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</si>
  <si>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</si>
  <si>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</si>
  <si>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</si>
  <si>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</si>
  <si>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</si>
  <si>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</si>
  <si>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</si>
  <si>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</si>
  <si>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</si>
  <si>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</si>
  <si>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</si>
  <si>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</si>
  <si>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</si>
  <si>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</si>
  <si>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</si>
  <si>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</si>
  <si>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</si>
  <si>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</si>
  <si>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</si>
  <si>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</si>
  <si>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</si>
  <si>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</si>
  <si>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</si>
  <si>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</si>
  <si>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</si>
  <si>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</si>
  <si>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</si>
  <si>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</si>
  <si>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</si>
  <si>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</si>
  <si>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</si>
  <si>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</si>
  <si>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</si>
  <si>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</si>
  <si>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</si>
  <si>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</si>
  <si>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</si>
  <si>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</si>
  <si>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</si>
  <si>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</si>
  <si>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</si>
  <si>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</si>
  <si>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</si>
  <si>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</si>
  <si>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</si>
  <si>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</si>
  <si>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</si>
  <si>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</si>
  <si>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</si>
  <si>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</si>
  <si>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</si>
  <si>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</si>
  <si>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</si>
  <si>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</si>
  <si>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</si>
  <si>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</si>
  <si>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</si>
  <si>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</si>
  <si>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</si>
  <si>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</si>
  <si>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</si>
  <si>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</si>
  <si>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</si>
  <si>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</si>
  <si>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</si>
  <si>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</si>
  <si>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</si>
  <si>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</si>
  <si>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</si>
  <si>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</si>
  <si>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</si>
  <si>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</si>
  <si>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</si>
  <si>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</si>
  <si>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</si>
  <si>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</si>
  <si>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</si>
  <si>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</si>
  <si>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</si>
  <si>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</si>
  <si>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</si>
  <si>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</si>
  <si>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</si>
  <si>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</si>
  <si>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</si>
  <si>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</si>
  <si>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</si>
  <si>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</si>
  <si>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</si>
  <si>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</si>
  <si>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</si>
  <si>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</si>
  <si>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</si>
  <si>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</si>
  <si>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</si>
  <si>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</si>
  <si>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</si>
  <si>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</si>
  <si>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</si>
  <si>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</si>
  <si>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</si>
  <si>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</si>
  <si>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</si>
  <si>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</si>
  <si>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</si>
  <si>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</si>
  <si>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</si>
  <si>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</si>
  <si>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</si>
  <si>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</si>
  <si>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</si>
  <si>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</si>
  <si>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</si>
  <si>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</si>
  <si>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</si>
  <si>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</si>
  <si>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</si>
  <si>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</si>
  <si>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</si>
  <si>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</si>
  <si>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</si>
  <si>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</si>
  <si>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</si>
  <si>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</si>
  <si>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</si>
  <si>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</si>
  <si>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</si>
  <si>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</si>
  <si>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</si>
  <si>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</si>
  <si>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</si>
  <si>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</si>
  <si>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</si>
  <si>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</si>
  <si>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</si>
  <si>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</si>
  <si>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</si>
  <si>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</si>
  <si>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</si>
  <si>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</si>
  <si>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</si>
  <si>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</si>
  <si>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</si>
  <si>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</si>
  <si>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</si>
  <si>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</si>
  <si>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</si>
  <si>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</si>
  <si>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</si>
  <si>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</si>
  <si>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</si>
  <si>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</si>
  <si>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</si>
  <si>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</si>
  <si>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</si>
  <si>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</si>
  <si>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</si>
  <si>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</si>
  <si>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</si>
  <si>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</si>
  <si>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</si>
  <si>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</si>
  <si>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</si>
  <si>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</si>
  <si>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</si>
  <si>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</si>
  <si>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</si>
  <si>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</si>
  <si>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</si>
  <si>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</si>
  <si>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</si>
  <si>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</si>
  <si>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</si>
  <si>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</si>
  <si>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</si>
  <si>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</si>
  <si>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</si>
  <si>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</si>
  <si>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</si>
  <si>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</si>
  <si>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</si>
  <si>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</si>
  <si>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</si>
  <si>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</si>
  <si>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</si>
  <si>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</si>
  <si>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</si>
  <si>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</si>
  <si>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</si>
  <si>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</si>
  <si>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</si>
  <si>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</si>
  <si>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</si>
  <si>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</si>
  <si>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</si>
  <si>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</si>
  <si>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</si>
  <si>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</si>
  <si>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</si>
  <si>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</si>
  <si>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</si>
  <si>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</si>
  <si>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</si>
  <si>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</si>
  <si>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</si>
  <si>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</si>
  <si>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</si>
  <si>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</si>
  <si>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</si>
  <si>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</si>
  <si>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</si>
  <si>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</si>
  <si>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</si>
  <si>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</si>
  <si>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</si>
  <si>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</si>
  <si>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</si>
  <si>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</si>
  <si>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</si>
  <si>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</si>
  <si>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</si>
  <si>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</si>
  <si>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</si>
  <si>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</si>
  <si>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</si>
  <si>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</si>
  <si>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</si>
  <si>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</si>
  <si>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</si>
  <si>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</si>
  <si>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</si>
  <si>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</si>
  <si>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</si>
  <si>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</si>
  <si>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</si>
  <si>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</si>
  <si>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</si>
  <si>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</si>
  <si>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</si>
  <si>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</si>
  <si>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</si>
  <si>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</si>
  <si>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</si>
  <si>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</si>
  <si>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</si>
  <si>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</si>
  <si>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</si>
  <si>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</si>
  <si>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</si>
  <si>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</si>
  <si>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</si>
  <si>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</si>
  <si>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</si>
  <si>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</si>
  <si>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</si>
  <si>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</si>
  <si>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</si>
  <si>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</si>
  <si>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</si>
  <si>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</si>
  <si>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</si>
  <si>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</si>
  <si>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</si>
  <si>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</si>
  <si>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</si>
  <si>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</si>
  <si>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</si>
  <si>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</si>
  <si>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</si>
  <si>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</si>
  <si>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</si>
  <si>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</si>
  <si>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</si>
  <si>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</si>
  <si>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</si>
  <si>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</si>
  <si>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</si>
  <si>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</si>
  <si>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</si>
  <si>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</si>
  <si>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</si>
  <si>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</si>
  <si>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</si>
  <si>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</si>
  <si>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</si>
  <si>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</si>
  <si>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</si>
  <si>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</si>
  <si>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</si>
  <si>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</si>
  <si>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</si>
  <si>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</si>
  <si>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</si>
  <si>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</si>
  <si>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</si>
  <si>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</si>
  <si>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</si>
  <si>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</si>
  <si>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</si>
  <si>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</si>
  <si>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</si>
  <si>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</si>
  <si>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</si>
  <si>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</si>
  <si>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</si>
  <si>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</si>
  <si>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</si>
  <si>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</si>
  <si>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</si>
  <si>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</si>
  <si>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</si>
  <si>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</si>
  <si>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</si>
  <si>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</si>
  <si>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</si>
  <si>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</si>
  <si>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</si>
  <si>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</si>
  <si>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</si>
  <si>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</si>
  <si>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</si>
  <si>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</si>
  <si>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</si>
  <si>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</si>
  <si>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</si>
  <si>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</si>
  <si>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</si>
  <si>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</si>
  <si>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</si>
  <si>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</si>
  <si>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</si>
  <si>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</si>
  <si>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</si>
  <si>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</si>
  <si>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</si>
  <si>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</si>
  <si>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</si>
  <si>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</si>
  <si>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</si>
  <si>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</si>
  <si>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</si>
  <si>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</si>
  <si>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</si>
  <si>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</si>
  <si>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</si>
  <si>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</si>
  <si>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</si>
  <si>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</si>
  <si>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</si>
  <si>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</si>
  <si>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</si>
  <si>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</si>
  <si>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</si>
  <si>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</si>
  <si>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</si>
  <si>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</si>
  <si>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</si>
  <si>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</si>
  <si>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</si>
  <si>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</si>
  <si>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</si>
  <si>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</si>
  <si>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</si>
  <si>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</si>
  <si>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</si>
  <si>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</si>
  <si>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</si>
  <si>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</si>
  <si>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</si>
  <si>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</si>
  <si>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</si>
  <si>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</si>
  <si>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</si>
  <si>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</si>
  <si>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</si>
  <si>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</si>
  <si>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</si>
  <si>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</si>
  <si>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</si>
  <si>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</si>
  <si>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</si>
  <si>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</si>
  <si>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</si>
  <si>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</si>
  <si>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</si>
  <si>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</si>
  <si>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</si>
  <si>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</si>
  <si>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</si>
  <si>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</si>
  <si>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</si>
  <si>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</si>
  <si>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</si>
  <si>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</si>
  <si>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</si>
  <si>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</si>
  <si>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</si>
  <si>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</si>
  <si>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</si>
  <si>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</si>
  <si>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</si>
  <si>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</si>
  <si>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</si>
  <si>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</si>
  <si>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</si>
  <si>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</si>
  <si>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</si>
  <si>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</si>
  <si>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</si>
  <si>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</si>
  <si>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</si>
  <si>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</si>
  <si>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</si>
  <si>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</si>
  <si>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</si>
  <si>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</si>
  <si>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</si>
  <si>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</si>
  <si>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</si>
  <si>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</si>
  <si>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</si>
  <si>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</si>
  <si>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</si>
  <si>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</si>
  <si>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</si>
  <si>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</si>
  <si>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</si>
  <si>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</si>
  <si>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</si>
  <si>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</si>
  <si>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</si>
  <si>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</si>
  <si>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</si>
  <si>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</si>
  <si>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</si>
  <si>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</si>
  <si>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</si>
  <si>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</si>
  <si>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</si>
  <si>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</si>
  <si>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</si>
  <si>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</si>
  <si>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</si>
  <si>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</si>
  <si>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</si>
  <si>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</si>
  <si>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</si>
  <si>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</si>
  <si>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</si>
  <si>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</si>
  <si>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</si>
  <si>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</si>
  <si>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</si>
  <si>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</si>
  <si>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</si>
  <si>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</si>
  <si>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</si>
  <si>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</si>
  <si>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</si>
  <si>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</si>
  <si>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</si>
  <si>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</si>
  <si>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</si>
  <si>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</si>
  <si>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</si>
  <si>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</si>
  <si>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</si>
  <si>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</si>
  <si>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</si>
  <si>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</si>
  <si>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</si>
  <si>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</si>
  <si>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</si>
  <si>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</si>
  <si>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</si>
  <si>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</si>
  <si>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</si>
  <si>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</si>
  <si>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</si>
  <si>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</si>
  <si>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</si>
  <si>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</si>
  <si>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</si>
  <si>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</si>
  <si>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</si>
  <si>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</si>
  <si>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</si>
  <si>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</si>
  <si>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</si>
  <si>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</si>
  <si>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</si>
  <si>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</si>
  <si>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</si>
  <si>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</si>
  <si>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</si>
  <si>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</si>
  <si>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</si>
  <si>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</si>
  <si>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</si>
  <si>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</si>
  <si>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</si>
  <si>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</si>
  <si>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</si>
  <si>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</si>
  <si>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</si>
  <si>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</si>
  <si>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</si>
  <si>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</si>
  <si>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</si>
  <si>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</si>
  <si>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</si>
  <si>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</si>
  <si>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</si>
  <si>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</si>
  <si>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</si>
  <si>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</si>
  <si>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</si>
  <si>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</si>
  <si>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</si>
  <si>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</si>
  <si>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</si>
  <si>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</si>
  <si>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</si>
  <si>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</si>
  <si>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</si>
  <si>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</si>
  <si>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</si>
  <si>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</si>
  <si>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</si>
  <si>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</si>
  <si>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</si>
  <si>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</si>
  <si>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</si>
  <si>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</si>
  <si>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</si>
  <si>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</si>
  <si>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</si>
  <si>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</si>
  <si>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</si>
  <si>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</si>
  <si>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</si>
  <si>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</si>
  <si>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</si>
  <si>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</si>
  <si>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</si>
  <si>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</si>
  <si>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</si>
  <si>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</si>
  <si>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</si>
  <si>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</si>
  <si>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</si>
  <si>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</si>
  <si>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</si>
  <si>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</si>
  <si>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</si>
  <si>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</si>
  <si>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</si>
  <si>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</si>
  <si>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</si>
  <si>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</si>
  <si>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</si>
  <si>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</si>
  <si>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</si>
  <si>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</si>
  <si>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</si>
  <si>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</si>
  <si>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</si>
  <si>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</si>
  <si>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</si>
  <si>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</si>
  <si>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</si>
  <si>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</si>
  <si>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</si>
  <si>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</si>
  <si>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</si>
  <si>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</si>
  <si>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</si>
  <si>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</si>
  <si>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</si>
  <si>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</si>
  <si>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</si>
  <si>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</si>
  <si>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</si>
  <si>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</si>
  <si>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</si>
  <si>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</si>
  <si>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</si>
  <si>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</si>
  <si>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</si>
  <si>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</si>
  <si>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</si>
  <si>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</si>
  <si>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</si>
  <si>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</si>
  <si>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</si>
  <si>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</si>
  <si>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</si>
  <si>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</si>
  <si>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</si>
  <si>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</si>
  <si>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</si>
  <si>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</si>
  <si>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</si>
  <si>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</si>
  <si>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</si>
  <si>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</si>
  <si>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</si>
  <si>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</si>
  <si>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</si>
  <si>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</si>
  <si>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</si>
  <si>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</si>
  <si>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</si>
  <si>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</si>
  <si>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</si>
  <si>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</si>
  <si>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</si>
  <si>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</si>
  <si>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</si>
  <si>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</si>
  <si>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</si>
  <si>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</si>
  <si>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</si>
  <si>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</si>
  <si>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</si>
  <si>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</si>
  <si>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</si>
  <si>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</si>
  <si>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</si>
  <si>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</si>
  <si>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</si>
  <si>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</si>
  <si>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</si>
  <si>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</si>
  <si>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</si>
  <si>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</si>
  <si>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</si>
  <si>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</si>
  <si>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</si>
  <si>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</si>
  <si>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</si>
  <si>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</si>
  <si>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</si>
  <si>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</si>
  <si>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</si>
  <si>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</si>
  <si>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</si>
  <si>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</si>
  <si>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</si>
  <si>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</si>
  <si>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</si>
  <si>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</si>
  <si>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</si>
  <si>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</si>
  <si>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</si>
  <si>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</si>
  <si>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</si>
  <si>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</si>
  <si>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</si>
  <si>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</si>
  <si>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</si>
  <si>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</si>
  <si>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</si>
  <si>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</si>
  <si>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</si>
  <si>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</si>
  <si>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</si>
  <si>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</si>
  <si>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</si>
  <si>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</si>
  <si>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</si>
  <si>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</si>
  <si>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</si>
  <si>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</si>
  <si>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</si>
  <si>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</si>
  <si>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</si>
  <si>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</si>
  <si>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</si>
  <si>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</si>
  <si>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</si>
  <si>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</si>
  <si>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</si>
  <si>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</si>
  <si>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</si>
  <si>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</si>
  <si>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</si>
  <si>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</si>
  <si>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</si>
  <si>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</si>
  <si>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</si>
  <si>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</si>
  <si>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</si>
  <si>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</si>
  <si>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</si>
  <si>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</si>
  <si>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</si>
  <si>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</si>
  <si>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</si>
  <si>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</si>
  <si>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</si>
  <si>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</si>
  <si>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</si>
  <si>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</si>
  <si>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</si>
  <si>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</si>
  <si>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</si>
  <si>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</si>
  <si>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</si>
  <si>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</si>
  <si>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</si>
  <si>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</si>
  <si>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</si>
  <si>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</si>
  <si>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</si>
  <si>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</si>
  <si>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</si>
  <si>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</si>
  <si>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</si>
  <si>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</si>
  <si>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</si>
  <si>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</si>
  <si>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</si>
  <si>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</si>
  <si>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</si>
  <si>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</si>
  <si>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</si>
  <si>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</si>
  <si>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</si>
  <si>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</si>
  <si>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</si>
  <si>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</si>
  <si>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</si>
  <si>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</si>
  <si>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</si>
  <si>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</si>
  <si>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</si>
  <si>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</si>
  <si>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</si>
  <si>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</si>
  <si>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</si>
  <si>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</si>
  <si>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</si>
  <si>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</si>
  <si>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</si>
  <si>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</si>
  <si>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</si>
  <si>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</si>
  <si>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</si>
  <si>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</si>
  <si>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</si>
  <si>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</si>
  <si>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</si>
  <si>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</si>
  <si>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</si>
  <si>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</si>
  <si>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</si>
  <si>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</si>
  <si>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</si>
  <si>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</si>
  <si>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</si>
  <si>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</si>
  <si>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</si>
  <si>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</si>
  <si>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</si>
  <si>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</si>
  <si>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</si>
  <si>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</si>
  <si>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</si>
  <si>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</si>
  <si>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</si>
  <si>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</si>
  <si>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</si>
  <si>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</si>
  <si>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</si>
  <si>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</si>
  <si>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</si>
  <si>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</si>
  <si>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</si>
  <si>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</si>
  <si>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</si>
  <si>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</si>
  <si>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</si>
  <si>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</si>
  <si>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</si>
  <si>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</si>
  <si>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</si>
  <si>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</si>
  <si>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</si>
  <si>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</si>
  <si>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</si>
  <si>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</si>
  <si>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</si>
  <si>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</si>
  <si>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</si>
  <si>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</si>
  <si>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</si>
  <si>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</si>
  <si>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</si>
  <si>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</si>
  <si>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</si>
  <si>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</si>
  <si>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</si>
  <si>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</si>
  <si>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</si>
  <si>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</si>
  <si>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</si>
  <si>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</si>
  <si>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</si>
  <si>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</si>
  <si>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</si>
  <si>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</si>
  <si>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</si>
  <si>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</si>
  <si>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</si>
  <si>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</si>
  <si>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</si>
  <si>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</si>
  <si>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</si>
  <si>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</si>
  <si>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</si>
  <si>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</si>
  <si>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</si>
  <si>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</si>
  <si>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</si>
  <si>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</si>
  <si>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</si>
  <si>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</si>
  <si>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</si>
  <si>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</si>
  <si>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</si>
  <si>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</si>
  <si>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</si>
  <si>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</si>
  <si>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</si>
  <si>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</si>
  <si>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</si>
  <si>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</si>
  <si>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</si>
  <si>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</si>
  <si>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</si>
  <si>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</si>
  <si>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</si>
  <si>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</si>
  <si>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</si>
  <si>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</si>
  <si>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</si>
  <si>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</si>
  <si>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</si>
  <si>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</si>
  <si>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</si>
  <si>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</si>
  <si>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</si>
  <si>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</si>
  <si>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</si>
  <si>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</si>
  <si>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</si>
  <si>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</si>
  <si>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</si>
  <si>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</si>
  <si>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</si>
  <si>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</si>
  <si>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</si>
  <si>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</si>
  <si>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</si>
  <si>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</si>
  <si>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</si>
  <si>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</si>
  <si>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</si>
  <si>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</si>
  <si>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</si>
  <si>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</si>
  <si>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</si>
  <si>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</si>
  <si>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</si>
  <si>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</si>
  <si>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</si>
  <si>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</si>
  <si>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</si>
  <si>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</si>
  <si>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</si>
  <si>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</si>
  <si>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</si>
  <si>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</si>
  <si>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</si>
  <si>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</si>
  <si>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</si>
  <si>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</si>
  <si>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</si>
  <si>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</si>
  <si>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</si>
  <si>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</si>
  <si>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</si>
  <si>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</si>
  <si>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</si>
  <si>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</si>
  <si>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</si>
  <si>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</si>
  <si>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</si>
  <si>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</si>
  <si>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</si>
  <si>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</si>
  <si>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</si>
  <si>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</si>
  <si>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</si>
  <si>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</si>
  <si>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</si>
  <si>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</si>
  <si>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</si>
  <si>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</si>
  <si>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</si>
  <si>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</si>
  <si>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</si>
  <si>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</si>
  <si>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</si>
  <si>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</si>
  <si>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</si>
  <si>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</si>
  <si>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</si>
  <si>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</si>
  <si>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</si>
  <si>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</si>
  <si>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</si>
  <si>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</si>
  <si>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</si>
  <si>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</si>
  <si>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</si>
  <si>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</si>
  <si>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</si>
  <si>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</si>
  <si>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</si>
  <si>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</si>
  <si>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</si>
  <si>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</si>
  <si>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</si>
  <si>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</si>
  <si>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</si>
  <si>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</si>
  <si>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</si>
  <si>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</si>
  <si>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</si>
  <si>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</si>
  <si>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</si>
  <si>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</si>
  <si>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</si>
  <si>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</si>
  <si>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</si>
  <si>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</si>
  <si>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</si>
  <si>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</si>
  <si>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</si>
  <si>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</si>
  <si>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</si>
  <si>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</si>
  <si>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</si>
  <si>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</si>
  <si>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</si>
  <si>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</si>
  <si>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</si>
  <si>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</si>
  <si>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</si>
  <si>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</si>
  <si>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</si>
  <si>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</si>
  <si>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</si>
  <si>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</si>
  <si>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</si>
  <si>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</si>
  <si>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</si>
  <si>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</si>
  <si>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</si>
  <si>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</si>
  <si>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</si>
  <si>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</si>
  <si>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</si>
  <si>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</si>
  <si>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</si>
  <si>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</si>
  <si>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</si>
  <si>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</si>
  <si>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</si>
  <si>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</si>
  <si>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</si>
  <si>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</si>
  <si>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</si>
  <si>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</si>
  <si>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</si>
  <si>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</si>
  <si>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</si>
  <si>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</si>
  <si>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</si>
  <si>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</si>
  <si>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</si>
  <si>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</si>
  <si>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</si>
  <si>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</si>
  <si>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</si>
  <si>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</si>
  <si>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</si>
  <si>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</si>
  <si>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</si>
  <si>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</si>
  <si>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</si>
  <si>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</si>
  <si>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</si>
  <si>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</si>
  <si>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</si>
  <si>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</si>
  <si>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</si>
  <si>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</si>
  <si>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</si>
  <si>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</si>
  <si>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</si>
  <si>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</si>
  <si>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</si>
  <si>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</si>
  <si>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</si>
  <si>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</si>
  <si>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</si>
  <si>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</si>
  <si>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</si>
  <si>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</si>
  <si>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</si>
  <si>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</si>
  <si>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</si>
  <si>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</si>
  <si>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</si>
  <si>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</si>
  <si>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</si>
  <si>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</si>
  <si>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</si>
  <si>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</si>
  <si>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</si>
  <si>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</si>
  <si>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</si>
  <si>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</si>
  <si>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</si>
  <si>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</si>
  <si>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</si>
  <si>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</si>
  <si>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</si>
  <si>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</si>
  <si>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</si>
  <si>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</si>
  <si>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</si>
  <si>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</si>
  <si>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</si>
  <si>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</si>
  <si>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</si>
  <si>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</si>
  <si>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</si>
  <si>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</si>
  <si>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</si>
  <si>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</si>
  <si>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</si>
  <si>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</si>
  <si>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</si>
  <si>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</si>
  <si>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</si>
  <si>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</si>
  <si>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</si>
  <si>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</si>
  <si>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</si>
  <si>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</si>
  <si>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</si>
  <si>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</si>
  <si>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</si>
  <si>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</si>
  <si>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</si>
  <si>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</si>
  <si>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</si>
  <si>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</si>
  <si>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</si>
  <si>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</si>
  <si>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</si>
  <si>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</si>
  <si>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</si>
  <si>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</si>
  <si>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</si>
  <si>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</si>
  <si>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</si>
  <si>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</si>
  <si>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</si>
  <si>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</si>
  <si>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</si>
  <si>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</si>
  <si>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</si>
  <si>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</si>
  <si>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</si>
  <si>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</si>
  <si>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</si>
  <si>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</si>
  <si>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</si>
  <si>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</si>
  <si>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</si>
  <si>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</si>
  <si>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</si>
  <si>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</si>
  <si>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</si>
  <si>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</si>
  <si>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</si>
  <si>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</si>
  <si>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</si>
  <si>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</si>
  <si>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</si>
  <si>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</si>
  <si>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</si>
  <si>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</si>
  <si>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</si>
  <si>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</si>
  <si>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</si>
  <si>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</si>
  <si>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</si>
  <si>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</si>
  <si>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</si>
  <si>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</si>
  <si>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</si>
  <si>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</si>
  <si>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</si>
  <si>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</si>
  <si>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</si>
  <si>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</si>
  <si>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</si>
  <si>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</si>
  <si>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</si>
  <si>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</si>
  <si>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</si>
  <si>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</si>
  <si>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</si>
  <si>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</si>
  <si>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</si>
  <si>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</si>
  <si>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</si>
  <si>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</si>
  <si>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</si>
  <si>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</si>
  <si>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</si>
  <si>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</si>
  <si>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</si>
  <si>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</si>
  <si>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</si>
  <si>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</si>
  <si>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</si>
  <si>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</si>
  <si>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</si>
  <si>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</si>
  <si>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</si>
  <si>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</si>
  <si>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</si>
  <si>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</si>
  <si>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</si>
  <si>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</si>
  <si>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</si>
  <si>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</si>
  <si>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</si>
  <si>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</si>
  <si>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</si>
  <si>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</si>
  <si>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</si>
  <si>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</si>
  <si>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</si>
  <si>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</si>
  <si>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</si>
  <si>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</si>
  <si>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</si>
  <si>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</si>
  <si>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</si>
  <si>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</si>
  <si>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</si>
  <si>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</si>
  <si>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</si>
  <si>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</si>
  <si>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</si>
  <si>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</si>
  <si>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</si>
  <si>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</si>
  <si>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</si>
  <si>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</si>
  <si>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</si>
  <si>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</si>
  <si>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</si>
  <si>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</si>
  <si>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</si>
  <si>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</si>
  <si>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</si>
  <si>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</si>
  <si>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</si>
  <si>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</si>
  <si>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</si>
  <si>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</si>
  <si>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</si>
  <si>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</si>
  <si>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</si>
  <si>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</si>
  <si>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</si>
  <si>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</si>
  <si>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</si>
  <si>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</si>
  <si>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</si>
  <si>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</si>
  <si>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</si>
  <si>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</si>
  <si>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</si>
  <si>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</si>
  <si>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</si>
  <si>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</si>
  <si>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</si>
  <si>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</si>
  <si>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</si>
  <si>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</si>
  <si>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</si>
  <si>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</si>
  <si>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</si>
  <si>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</si>
  <si>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</si>
  <si>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</si>
  <si>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</si>
  <si>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</si>
  <si>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</si>
  <si>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</si>
  <si>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</si>
  <si>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</si>
  <si>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</si>
  <si>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</si>
  <si>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</si>
  <si>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</si>
  <si>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</si>
  <si>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</si>
  <si>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</si>
  <si>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</si>
  <si>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</si>
  <si>
    <t>nVols</t>
  </si>
  <si>
    <t>nTiPts</t>
  </si>
  <si>
    <t>testVal</t>
  </si>
  <si>
    <t>numIntSolv</t>
  </si>
  <si>
    <t>ode15s</t>
  </si>
  <si>
    <t>odeAbsTol</t>
  </si>
  <si>
    <t>odeRelTol</t>
  </si>
  <si>
    <t>testVal_1</t>
  </si>
  <si>
    <t>numZero</t>
  </si>
  <si>
    <t>testVal_2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</si>
</sst>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b/>
      <i/>
      <sz val="11"/>
      <color theme="1"/>
      <name val="Consolas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049989318521683"/>
        <bgColor indexed="64"/>
      </patternFill>
    </fill>
    <fill>
      <patternFill patternType="solid">
        <fgColor theme="0" tint="-0.14999847407453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/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false" applyFill="false" applyBorder="false" applyAlignment="false" applyProtection="false"/>
  </cellStyleXfs>
  <cellXfs count="58">
    <xf numFmtId="0" fontId="0" fillId="0" borderId="0" xfId="0"/>
    <xf numFmtId="0" fontId="4" fillId="3" borderId="1" xfId="0" applyFont="true" applyFill="true" applyBorder="true" applyAlignment="true">
      <alignment horizontal="center" vertical="center"/>
    </xf>
    <xf numFmtId="0" fontId="4" fillId="3" borderId="1" xfId="0" applyFont="true" applyFill="true" applyBorder="true" applyAlignment="true">
      <alignment horizontal="left" vertical="center" indent="1"/>
    </xf>
    <xf numFmtId="0" fontId="4" fillId="0" borderId="0" xfId="0" applyFont="true" applyAlignment="true" applyProtection="true">
      <alignment horizontal="center" vertical="center"/>
      <protection locked="false"/>
    </xf>
    <xf numFmtId="0" fontId="4" fillId="3" borderId="8" xfId="0" applyFont="true" applyFill="true" applyBorder="true" applyAlignment="true">
      <alignment horizontal="center" vertical="center"/>
    </xf>
    <xf numFmtId="0" fontId="4" fillId="3" borderId="6" xfId="0" applyFont="true" applyFill="true" applyBorder="true" applyAlignment="true">
      <alignment horizontal="left" vertical="center" wrapText="true" indent="1"/>
    </xf>
    <xf numFmtId="0" fontId="4" fillId="3" borderId="6" xfId="0" applyFont="true" applyFill="true" applyBorder="true" applyAlignment="true">
      <alignment horizontal="center" vertical="center"/>
    </xf>
    <xf numFmtId="0" fontId="4" fillId="3" borderId="0" xfId="0" applyFont="true" applyFill="true" applyAlignment="true">
      <alignment horizontal="center" vertical="center"/>
    </xf>
    <xf numFmtId="0" fontId="4" fillId="3" borderId="12" xfId="0" applyFont="true" applyFill="true" applyBorder="true" applyAlignment="true">
      <alignment horizontal="center" vertical="center"/>
    </xf>
    <xf numFmtId="0" fontId="4" fillId="3" borderId="10" xfId="0" applyFont="true" applyFill="true" applyBorder="true" applyAlignment="true">
      <alignment horizontal="left" vertical="center" indent="1"/>
    </xf>
    <xf numFmtId="0" fontId="4" fillId="3" borderId="10" xfId="0" applyFont="true" applyFill="true" applyBorder="true" applyAlignment="true">
      <alignment horizontal="center" vertical="center"/>
    </xf>
    <xf numFmtId="0" fontId="4" fillId="3" borderId="11" xfId="0" applyFont="true" applyFill="true" applyBorder="true" applyAlignment="true">
      <alignment horizontal="center" vertical="center"/>
    </xf>
    <xf numFmtId="0" fontId="4" fillId="3" borderId="11" xfId="0" applyFont="true" applyFill="true" applyBorder="true" applyAlignment="true">
      <alignment horizontal="left" vertical="center" wrapText="true" indent="1"/>
    </xf>
    <xf numFmtId="0" fontId="4" fillId="4" borderId="3" xfId="0" applyFont="true" applyFill="true" applyBorder="true" applyAlignment="true">
      <alignment horizontal="right" vertical="center"/>
    </xf>
    <xf numFmtId="0" fontId="4" fillId="4" borderId="0" xfId="0" applyFont="true" applyFill="true" applyAlignment="true">
      <alignment horizontal="right" vertical="center"/>
    </xf>
    <xf numFmtId="0" fontId="4" fillId="4" borderId="0" xfId="0" applyFont="true" applyFill="true" applyAlignment="true">
      <alignment horizontal="center" vertical="center"/>
    </xf>
    <xf numFmtId="0" fontId="4" fillId="4" borderId="4" xfId="0" applyFont="true" applyFill="true" applyBorder="true" applyAlignment="true">
      <alignment horizontal="right" vertical="center"/>
    </xf>
    <xf numFmtId="0" fontId="4" fillId="4" borderId="2" xfId="0" applyFont="true" applyFill="true" applyBorder="true" applyAlignment="true">
      <alignment horizontal="right" vertical="center"/>
    </xf>
    <xf numFmtId="0" fontId="4" fillId="4" borderId="2" xfId="0" applyFont="true" applyFill="true" applyBorder="true" applyAlignment="true">
      <alignment horizontal="left" vertical="center"/>
    </xf>
    <xf numFmtId="0" fontId="4" fillId="4" borderId="2" xfId="0" applyFont="true" applyFill="true" applyBorder="true" applyAlignment="true">
      <alignment horizontal="center" vertical="center"/>
    </xf>
    <xf numFmtId="0" fontId="12" fillId="5" borderId="6" xfId="0" applyFont="true" applyFill="true" applyBorder="true" applyAlignment="true">
      <alignment horizontal="left" vertical="center"/>
    </xf>
    <xf numFmtId="0" fontId="9" fillId="5" borderId="7" xfId="0" applyFont="true" applyFill="true" applyBorder="true" applyAlignment="true">
      <alignment horizontal="center" vertical="center"/>
    </xf>
    <xf numFmtId="0" fontId="12" fillId="5" borderId="8" xfId="0" applyFont="true" applyFill="true" applyBorder="true" applyAlignment="true">
      <alignment horizontal="right" vertical="center"/>
    </xf>
    <xf numFmtId="0" fontId="8" fillId="5" borderId="5" xfId="0" applyFont="true" applyFill="true" applyBorder="true" applyAlignment="true">
      <alignment horizontal="center" vertical="center"/>
    </xf>
    <xf numFmtId="0" fontId="8" fillId="5" borderId="9" xfId="0" applyFont="true" applyFill="true" applyBorder="true" applyAlignment="true">
      <alignment horizontal="center" vertical="center"/>
    </xf>
    <xf numFmtId="0" fontId="8" fillId="5" borderId="9" xfId="0" applyFont="true" applyFill="true" applyBorder="true" applyAlignment="true">
      <alignment horizontal="center" vertical="center" wrapText="true"/>
    </xf>
    <xf numFmtId="0" fontId="8" fillId="5" borderId="4" xfId="0" applyFont="true" applyFill="true" applyBorder="true" applyAlignment="true">
      <alignment horizontal="center" vertical="center"/>
    </xf>
    <xf numFmtId="0" fontId="7" fillId="2" borderId="10" xfId="0" applyFont="true" applyFill="true" applyBorder="true" applyAlignment="true" applyProtection="true">
      <alignment horizontal="center" vertical="center"/>
      <protection locked="false"/>
    </xf>
    <xf numFmtId="0" fontId="4" fillId="0" borderId="0" xfId="1" applyFont="true">
      <alignment vertical="center"/>
    </xf>
    <xf numFmtId="0" fontId="4" fillId="0" borderId="0" xfId="1" applyFont="true" applyAlignment="true">
      <alignment vertical="center" wrapText="true"/>
    </xf>
    <xf numFmtId="0" fontId="4" fillId="0" borderId="0" xfId="1" applyFont="true" applyAlignment="true">
      <alignment horizontal="center" vertical="center"/>
    </xf>
    <xf numFmtId="0" fontId="15" fillId="5" borderId="0" xfId="2" applyFont="true" applyFill="true" applyAlignment="true" applyProtection="true">
      <alignment horizontal="right"/>
    </xf>
    <xf numFmtId="0" fontId="3" fillId="0" borderId="1" xfId="1" applyFont="true" applyBorder="true" applyAlignment="true">
      <alignment horizontal="center" vertical="center"/>
    </xf>
    <xf numFmtId="0" fontId="3" fillId="0" borderId="1" xfId="1" applyFont="true" applyBorder="true" applyAlignment="true">
      <alignment horizontal="left" vertical="center" wrapText="true" indent="1"/>
    </xf>
    <xf numFmtId="14" fontId="3" fillId="0" borderId="1" xfId="1" applyNumberFormat="true" applyFont="true" applyBorder="true" applyAlignment="true">
      <alignment horizontal="center" vertical="center"/>
    </xf>
    <xf numFmtId="0" fontId="3" fillId="0" borderId="1" xfId="1" applyFont="true" applyBorder="true" applyAlignment="true">
      <alignment horizontal="left" vertical="center" indent="1"/>
    </xf>
    <xf numFmtId="0" fontId="4" fillId="4" borderId="0" xfId="0" applyFont="true" applyFill="true" applyAlignment="true">
      <alignment horizontal="left" vertical="center"/>
    </xf>
    <xf numFmtId="0" fontId="6" fillId="3" borderId="1" xfId="1" applyFont="true" applyFill="true" applyBorder="true" applyAlignment="true">
      <alignment horizontal="center" vertical="center" wrapText="true"/>
    </xf>
    <xf numFmtId="0" fontId="13" fillId="5" borderId="0" xfId="1" applyFont="true" applyFill="true" applyAlignment="true">
      <alignment horizontal="left" vertical="center"/>
    </xf>
    <xf numFmtId="0" fontId="14" fillId="5" borderId="0" xfId="1" applyFont="true" applyFill="true" applyAlignment="true">
      <alignment vertical="center" wrapText="true"/>
    </xf>
    <xf numFmtId="0" fontId="14" fillId="5" borderId="0" xfId="1" applyFont="true" applyFill="true" applyAlignment="true">
      <alignment horizontal="center" vertical="center"/>
    </xf>
    <xf numFmtId="0" fontId="14" fillId="5" borderId="0" xfId="1" applyFont="true" applyFill="true">
      <alignment vertical="center"/>
    </xf>
    <xf numFmtId="0" fontId="4" fillId="0" borderId="0" xfId="0" applyFont="true" applyAlignment="true">
      <alignment vertical="center"/>
    </xf>
    <xf numFmtId="0" fontId="4" fillId="3" borderId="3" xfId="0" applyFont="true" applyFill="true" applyBorder="true" applyAlignment="true">
      <alignment vertical="center"/>
    </xf>
    <xf numFmtId="0" fontId="4" fillId="3" borderId="0" xfId="0" applyFont="true" applyFill="true" applyAlignment="true">
      <alignment vertical="center"/>
    </xf>
    <xf numFmtId="0" fontId="7" fillId="3" borderId="0" xfId="0" applyFont="true" applyFill="true" applyAlignment="true">
      <alignment vertical="center"/>
    </xf>
    <xf numFmtId="11" fontId="7" fillId="2" borderId="10" xfId="0" applyNumberFormat="true" applyFont="true" applyFill="true" applyBorder="true" applyAlignment="true" applyProtection="true">
      <alignment horizontal="center" vertical="center"/>
      <protection locked="false"/>
    </xf>
    <xf numFmtId="0" fontId="18" fillId="2" borderId="10" xfId="0" applyFont="true" applyFill="true" applyBorder="true" applyAlignment="true" applyProtection="true">
      <alignment horizontal="center" vertical="center"/>
      <protection locked="false"/>
    </xf>
    <xf numFmtId="0" fontId="4" fillId="3" borderId="7" xfId="0" applyFont="true" applyFill="true" applyBorder="true" applyAlignment="true">
      <alignment horizontal="center" vertical="center"/>
    </xf>
    <xf numFmtId="0" fontId="4" fillId="3" borderId="8" xfId="0" applyFont="true" applyFill="true" applyBorder="true" applyAlignment="true">
      <alignment horizontal="left" vertical="center" indent="1"/>
    </xf>
    <xf numFmtId="0" fontId="5" fillId="0" borderId="2" xfId="1" applyFont="true" applyBorder="true" applyAlignment="true">
      <alignment horizontal="center" vertical="center"/>
    </xf>
    <xf numFmtId="0" fontId="6" fillId="4" borderId="1" xfId="0" applyFont="true" applyFill="true" applyBorder="true" applyAlignment="true">
      <alignment horizontal="center" vertical="center"/>
    </xf>
    <xf numFmtId="0" fontId="6" fillId="4" borderId="12" xfId="0" applyFont="true" applyFill="true" applyBorder="true" applyAlignment="true">
      <alignment horizontal="center" vertical="center"/>
    </xf>
    <xf numFmtId="0" fontId="6" fillId="4" borderId="13" xfId="0" applyFont="true" applyFill="true" applyBorder="true" applyAlignment="true">
      <alignment horizontal="center" vertical="center"/>
    </xf>
    <xf numFmtId="0" fontId="6" fillId="4" borderId="5" xfId="0" applyFont="true" applyFill="true" applyBorder="true" applyAlignment="true">
      <alignment horizontal="center" vertical="center"/>
    </xf>
    <xf numFmtId="0" fontId="7" fillId="4" borderId="6" xfId="0" applyFont="true" applyFill="true" applyBorder="true" applyAlignment="true">
      <alignment horizontal="left" vertical="center"/>
    </xf>
    <xf numFmtId="0" fontId="7" fillId="4" borderId="7" xfId="0" applyFont="true" applyFill="true" applyBorder="true" applyAlignment="true">
      <alignment horizontal="left" vertical="center"/>
    </xf>
    <xf numFmtId="22" fontId="0" fillId="0" borderId="14" xfId="0" applyNumberFormat="true"/>
  </cellXfs>
  <cellStyles count="3">
    <cellStyle name="Hyperlink" xfId="2" builtinId="8"/>
    <cellStyle name="Normal" xfId="0" builtinId="0"/>
    <cellStyle name="Normal 3" xfId="1" xr:uid="{8C1A4601-4B09-4BE0-B387-657882E2D017}"/>
  </cellStyles>
  <dxfs count="60"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left" vertical="center" textRotation="0" wrapText="true" indent="1" justifyLastLine="false" shrinkToFit="false" readingOrder="0"/>
      <border diagonalUp="false" diagonalDown="false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left" vertical="center" textRotation="0" wrapText="false" indent="1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left" vertical="center" textRotation="0" wrapText="false" indent="1" justifyLastLine="false" shrinkToFit="false" readingOrder="0"/>
      <border diagonalUp="false" diagonalDown="false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true" hidden="false"/>
    </dxf>
    <dxf>
      <font>
        <b/>
        <i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fals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/>
        <right/>
        <top style="thin">
          <color indexed="64"/>
        </top>
        <bottom style="thin">
          <color indexed="64"/>
        </bottom>
      </border>
      <protection locked="true" hidden="false"/>
    </dxf>
    <dxf>
      <border outline="false">
        <top style="thin">
          <color rgb="FF000000"/>
        </top>
      </border>
    </dxf>
    <dxf>
      <border outline="false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false" hidden="false"/>
    </dxf>
    <dxf>
      <border outline="false">
        <bottom style="thin">
          <color rgb="FF000000"/>
        </bottom>
      </border>
    </dxf>
    <dxf>
      <font>
        <b/>
        <i/>
        <strike val="false"/>
        <condense val="false"/>
        <extend val="false"/>
        <outline val="false"/>
        <shadow val="false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/>
        <bottom/>
      </border>
      <protection locked="false" hidden="false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0.049989318521683"/>
        </patternFill>
      </fill>
    </dxf>
    <dxf>
      <font>
        <strike val="false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left" vertical="center" textRotation="0" wrapText="true" indent="1" justifyLastLine="false" shrinkToFit="false" readingOrder="0"/>
      <border diagonalUp="false" diagonalDown="false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left" vertical="center" textRotation="0" wrapText="false" indent="1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left" vertical="center" textRotation="0" wrapText="false" indent="1" justifyLastLine="false" shrinkToFit="false" readingOrder="0"/>
      <border diagonalUp="false" diagonalDown="false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true" hidden="false"/>
    </dxf>
    <dxf>
      <font>
        <b/>
        <i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fals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/>
        <right/>
        <top style="thin">
          <color indexed="64"/>
        </top>
        <bottom style="thin">
          <color indexed="64"/>
        </bottom>
      </border>
      <protection locked="true" hidden="false"/>
    </dxf>
    <dxf>
      <border outline="false">
        <top style="thin">
          <color rgb="FF000000"/>
        </top>
      </border>
    </dxf>
    <dxf>
      <border outline="false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false" hidden="false"/>
    </dxf>
    <dxf>
      <border outline="false">
        <bottom style="thin">
          <color rgb="FF000000"/>
        </bottom>
      </border>
    </dxf>
    <dxf>
      <font>
        <b/>
        <i/>
        <strike val="false"/>
        <condense val="false"/>
        <extend val="false"/>
        <outline val="false"/>
        <shadow val="false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/>
        <bottom/>
      </border>
      <protection locked="false" hidden="false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0.049989318521683"/>
        </patternFill>
      </fill>
    </dxf>
    <dxf>
      <font>
        <strike val="false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left" vertical="center" textRotation="0" wrapText="true" indent="1" justifyLastLine="false" shrinkToFit="false" readingOrder="0"/>
      <border diagonalUp="false" diagonalDown="false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left" vertical="center" textRotation="0" wrapText="false" indent="1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left" vertical="center" textRotation="0" wrapText="false" indent="1" justifyLastLine="false" shrinkToFit="false" readingOrder="0"/>
      <border diagonalUp="false" diagonalDown="false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true" hidden="false"/>
    </dxf>
    <dxf>
      <font>
        <b/>
        <i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fals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/>
        <right/>
        <top style="thin">
          <color indexed="64"/>
        </top>
        <bottom style="thin">
          <color indexed="64"/>
        </bottom>
      </border>
      <protection locked="true" hidden="false"/>
    </dxf>
    <dxf>
      <border outline="false">
        <top style="thin">
          <color rgb="FF000000"/>
        </top>
      </border>
    </dxf>
    <dxf>
      <border outline="false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false" hidden="false"/>
    </dxf>
    <dxf>
      <border outline="false">
        <bottom style="thin">
          <color rgb="FF000000"/>
        </bottom>
      </border>
    </dxf>
    <dxf>
      <font>
        <b/>
        <i/>
        <strike val="false"/>
        <condense val="false"/>
        <extend val="false"/>
        <outline val="false"/>
        <shadow val="false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/>
        <bottom/>
      </border>
      <protection locked="false" hidden="false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0.049989318521683"/>
        </patternFill>
      </fill>
    </dxf>
    <dxf>
      <font>
        <strike val="false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?><Relationships xmlns="http://schemas.openxmlformats.org/package/2006/relationships"><Relationship Target="worksheets/sheet8.xml" Type="http://schemas.openxmlformats.org/officeDocument/2006/relationships/worksheet" Id="rId8"/><Relationship Target="worksheets/sheet3.xml" Type="http://schemas.openxmlformats.org/officeDocument/2006/relationships/worksheet" Id="rId3"/><Relationship Target="worksheets/sheet7.xml" Type="http://schemas.openxmlformats.org/officeDocument/2006/relationships/worksheet" Id="rId7"/><Relationship Target="sharedStrings.xml" Type="http://schemas.openxmlformats.org/officeDocument/2006/relationships/sharedStrings" Id="rId12"/><Relationship Target="worksheets/sheet2.xml" Type="http://schemas.openxmlformats.org/officeDocument/2006/relationships/worksheet" Id="rId2"/><Relationship Target="worksheets/sheet1.xml" Type="http://schemas.openxmlformats.org/officeDocument/2006/relationships/worksheet" Id="rId1"/><Relationship Target="worksheets/sheet6.xml" Type="http://schemas.openxmlformats.org/officeDocument/2006/relationships/worksheet" Id="rId6"/><Relationship Target="styles.xml" Type="http://schemas.openxmlformats.org/officeDocument/2006/relationships/styles" Id="rId11"/><Relationship Target="worksheets/sheet5.xml" Type="http://schemas.openxmlformats.org/officeDocument/2006/relationships/worksheet" Id="rId5"/><Relationship Target="persons/person.xml" Type="http://schemas.microsoft.com/office/2017/10/relationships/person" Id="rId15"/><Relationship Target="theme/theme1.xml" Type="http://schemas.openxmlformats.org/officeDocument/2006/relationships/theme" Id="rId10"/><Relationship Target="worksheets/sheet4.xml" Type="http://schemas.openxmlformats.org/officeDocument/2006/relationships/worksheet" Id="rId4"/><Relationship Target="worksheets/sheet9.xml" Type="http://schemas.openxmlformats.org/officeDocument/2006/relationships/worksheet" Id="rId9"/><Relationship Target="vbaProject.bin" Type="http://schemas.microsoft.com/office/2006/relationships/vbaProject" Id="rId14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?><Relationships xmlns="http://schemas.openxmlformats.org/package/2006/relationships"><Relationship Target="../media/image1.png" Type="http://schemas.openxmlformats.org/officeDocument/2006/relationships/image" Id="rId1"/></Relationships>
</file>

<file path=xl/drawings/drawing1.xml><?xml version="1.0" encoding="utf-8"?>
<xdr:wsDr xmlns:a="http://schemas.openxmlformats.org/drawingml/2006/main" xmlns:xdr="http://schemas.openxmlformats.org/drawingml/2006/spreadsheetDrawing" xmlns:r="http://schemas.openxmlformats.org/officeDocument/2006/relationships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xmlns:a16="http://schemas.microsoft.com/office/drawing/2014/main"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true"/>
        </xdr:cNvPicPr>
      </xdr:nvPicPr>
      <xdr:blipFill>
        <a:blip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 xmlns:r="http://schemas.openxmlformats.org/officeDocument/2006/relationships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xmlns:a16="http://schemas.microsoft.com/office/drawing/2014/main"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xmlns:a16="http://schemas.microsoft.com/office/drawing/2014/main"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false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AT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a="http://schemas.openxmlformats.org/drawingml/2006/main" xmlns:xdr="http://schemas.openxmlformats.org/drawingml/2006/spreadsheetDrawing" xmlns:r="http://schemas.openxmlformats.org/officeDocument/2006/relationships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xmlns:a16="http://schemas.microsoft.com/office/drawing/2014/main"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xmlns:a16="http://schemas.microsoft.com/office/drawing/2014/main"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false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200-00000164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AT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 xmlns:r="http://schemas.openxmlformats.org/officeDocument/2006/relationships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xmlns:a16="http://schemas.microsoft.com/office/drawing/2014/main" uri="{FF2B5EF4-FFF2-40B4-BE49-F238E27FC236}">
              <a16:creationId xmlns:a16="http://schemas.microsoft.com/office/drawing/2014/main" id="{00000000-0008-0000-0300-00001F000000}"/>
            </a:ext>
          </a:extLst>
        </xdr:cNvPr>
        <xdr:cNvGrpSpPr/>
      </xdr:nvGrpSpPr>
      <xdr:grpSpPr>
        <a:xfrm>
          <a:off x="80680" y="609600"/>
          <a:ext cx="5962787" cy="564261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xmlns:a16="http://schemas.microsoft.com/office/drawing/2014/main"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false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300-00002928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AT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id="1" name="Table132" displayName="Table132" ref="A9:J12" totalsRowShown="false" headerRowDxfId="54" dataDxfId="52" headerRowBorderDxfId="53" tableBorderDxfId="51" totalsRowBorderDxfId="50" mc:Ignorable="xr xr3" xr:uid="{90B3E855-406C-4674-A51D-86A64789BB44}">
  <autoFilter ref="A9:J12" xr:uid="{B089C5C3-2CCE-4800-96CA-2131BB6E3E4F}"/>
  <tableColumns count="10">
    <tableColumn id="1" name="Variable" dataDxfId="49" xr3:uid="{68F80D25-29F2-4666-84E3-9B384B347FD6}"/>
    <tableColumn id="4" name="Value" dataDxfId="48" xr3:uid="{970AC59F-A924-43F5-8348-8D9DC81CE55B}"/>
    <tableColumn id="5" name="Unit" dataDxfId="47" xr3:uid="{4FD08566-BE5D-47FE-B0A9-0CA38A822BD7}"/>
    <tableColumn id="6" name="Comparisons" dataDxfId="46" xr3:uid="{0F3D7A19-FE09-47B5-B728-B70B368EF4CC}"/>
    <tableColumn id="7" name="Variable Type" dataDxfId="45" xr3:uid="{5AF158AA-FE83-40DC-9724-0492D92AFA6F}"/>
    <tableColumn id="8" name="Dependency" dataDxfId="44" xr3:uid="{78535DA3-AFED-41F4-9B3B-57036563810F}"/>
    <tableColumn id="12" name="Test 1" dataDxfId="43" xr3:uid="{38B40BA1-DBE1-4774-8D5F-BDC4A25DDD46}"/>
    <tableColumn id="10" name="Test 2" dataDxfId="42" xr3:uid="{89B3A532-8A94-4DC0-B282-E767ECBF7A34}"/>
    <tableColumn id="2" name="Test 3" dataDxfId="41" xr3:uid="{8BB3F0AB-F341-44C2-860A-A879E77C3D5D}"/>
    <tableColumn id="9" name="Description" dataDxfId="40" xr3:uid="{9BB1CE86-B342-454F-B7CA-E8FDD6004FB1}"/>
  </tableColumns>
  <tableStyleInfo name="TableStyleMedium2" showFirstColumn="false" showLastColumn="false" showRowStripes="true" showColumnStripes="false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id="3" name="Table134" displayName="Table134" ref="A9:J13" totalsRowShown="false" headerRowDxfId="34" dataDxfId="32" headerRowBorderDxfId="33" tableBorderDxfId="31" totalsRowBorderDxfId="30" mc:Ignorable="xr xr3" xr:uid="{A7682B18-F4FE-4FC2-9A5F-70A7078D962A}">
  <autoFilter ref="A9:J13" xr:uid="{B089C5C3-2CCE-4800-96CA-2131BB6E3E4F}"/>
  <tableColumns count="10">
    <tableColumn id="1" name="Variable" dataDxfId="29" xr3:uid="{44527B90-242C-40DC-9805-73C1AD53D8DE}"/>
    <tableColumn id="4" name="Value" dataDxfId="28" xr3:uid="{9A77B637-C12D-4325-BF96-973CBAE4866E}"/>
    <tableColumn id="5" name="Unit" dataDxfId="27" xr3:uid="{AEA85F49-867F-4B85-BACE-AD9CB589649E}"/>
    <tableColumn id="6" name="Comparisons" dataDxfId="26" xr3:uid="{1B0349BE-38DA-410D-8F15-C7346859BF32}"/>
    <tableColumn id="7" name="Variable Type" dataDxfId="25" xr3:uid="{409CED4C-D080-477D-9B90-A84142BC5A32}"/>
    <tableColumn id="8" name="Dependency" dataDxfId="24" xr3:uid="{314933D0-2B2C-47ED-8193-EDCBA554FFE7}"/>
    <tableColumn id="12" name="Test 1" dataDxfId="23" xr3:uid="{BB26D5FC-5CD9-487F-8F53-FB91FA67B5D1}"/>
    <tableColumn id="10" name="Test 2" dataDxfId="22" xr3:uid="{643D44CC-B3DD-406E-A883-B5287F7EFB44}"/>
    <tableColumn id="2" name="Test 3" dataDxfId="21" xr3:uid="{C03D5DA2-FFE8-4776-AB78-1E2E44CB5C02}"/>
    <tableColumn id="9" name="Description" dataDxfId="20" xr3:uid="{098246D3-D1A4-4027-9724-2C743B0AB2CA}"/>
  </tableColumns>
  <tableStyleInfo name="TableStyleMedium2" showFirstColumn="false" showLastColumn="false" showRowStripes="true" showColumnStripes="false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id="2" name="Table13" displayName="Table13" ref="A9:J11" totalsRowShown="false" headerRowDxfId="14" dataDxfId="12" headerRowBorderDxfId="13" tableBorderDxfId="11" totalsRowBorderDxfId="10" mc:Ignorable="xr xr3" xr:uid="{DFE49B2F-1F87-4C06-ACCB-8071428D1B2C}">
  <autoFilter ref="A9:J11" xr:uid="{B089C5C3-2CCE-4800-96CA-2131BB6E3E4F}"/>
  <tableColumns count="10">
    <tableColumn id="1" name="Variable" dataDxfId="9" xr3:uid="{E0503319-4244-40BF-80AC-47EAB20F9D82}"/>
    <tableColumn id="4" name="Value" dataDxfId="8" xr3:uid="{C9B93118-2D75-48EB-867F-A112A1413B3A}"/>
    <tableColumn id="5" name="Unit" dataDxfId="7" xr3:uid="{6DB24D56-641D-41E7-A0AF-33D3EA326C9E}"/>
    <tableColumn id="6" name="Comparisons" dataDxfId="6" xr3:uid="{EC0DB7D6-1463-4C4D-9A2A-4BC3C7916932}"/>
    <tableColumn id="7" name="Variable Type" dataDxfId="5" xr3:uid="{6FE91FB5-8BB7-4A02-B5AC-265E1EBFD7A4}"/>
    <tableColumn id="8" name="Dependency" dataDxfId="4" xr3:uid="{A6460C6C-273A-466F-8C24-29520D28AB0E}"/>
    <tableColumn id="12" name="Test 1" dataDxfId="3" xr3:uid="{0D55DF56-EF41-44E6-9DE8-92E85F8BC954}"/>
    <tableColumn id="10" name="Test 2" dataDxfId="2" xr3:uid="{FE581202-0C06-4BC7-8D50-2FDDC17F8184}"/>
    <tableColumn id="2" name="Test 3" dataDxfId="1" xr3:uid="{0C40960E-3CC9-432B-A5CB-D76546536ADF}"/>
    <tableColumn id="9" name="Description" dataDxfId="0" xr3:uid="{05A43EF2-B89E-41B1-ABA5-98E847A1B9DC}"/>
  </tableColumns>
  <tableStyleInfo name="TableStyleMedium2" showFirstColumn="false" showLastColumn="false" showRowStripes="true" showColumnStripes="false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C5D634BE-660D-4A5C-AADC-13CFF35AFE46}">
    <text>place 1 if we want to keep the row when re-initializing. Otherwise, leave it as a blank.</text>
  </threadedComment>
  <threadedComment ref="H9" dT="2020-11-26T18:35:03.27" personId="{7F98AE94-13FB-49E1-9262-339C11E0EDB4}" id="{94EE4805-2227-461F-B7FB-15BAA4A0028B}">
    <text>supply a value greater than 1 if you want to duplicate the row</text>
  </threadedComment>
  <threadedComment ref="I9" dT="2020-11-28T01:53:47.29" personId="{7F98AE94-13FB-49E1-9262-339C11E0EDB4}" id="{DF90C488-2806-4D10-ABFE-9DED4DF707CC}">
    <text>1 means we need to have the variable specified; 0 means we need not have the variable specified</text>
  </threadedComment>
  <threadedComment ref="I9" dT="2020-11-28T01:56:42.32" personId="{7F98AE94-13FB-49E1-9262-339C11E0EDB4}" id="{95F54BA1-ACF8-4C2E-B5A8-AF8101218BED}" parentId="{DF90C488-2806-4D10-ABFE-9DED4DF707CC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?><Relationships xmlns="http://schemas.openxmlformats.org/package/2006/relationships"><Relationship Target="../drawings/drawing1.xml" Type="http://schemas.openxmlformats.org/officeDocument/2006/relationships/drawing" Id="rId3"/><Relationship Target="../printerSettings/printerSettings1.bin" Type="http://schemas.openxmlformats.org/officeDocument/2006/relationships/printerSettings" Id="rId2"/><Relationship TargetMode="External" Target="https://www.jkscottresearchgroup.com/" Type="http://schemas.openxmlformats.org/officeDocument/2006/relationships/hyperlink" Id="rId1"/></Relationships>
</file>

<file path=xl/worksheets/_rels/sheet2.xml.rels><?xml version="1.0" encoding="UTF-8"?><Relationships xmlns="http://schemas.openxmlformats.org/package/2006/relationships"><Relationship Target="../comments1.xml" Type="http://schemas.openxmlformats.org/officeDocument/2006/relationships/comments" Id="rId8"/><Relationship Target="../drawings/vmlDrawing1.vml" Type="http://schemas.openxmlformats.org/officeDocument/2006/relationships/vmlDrawing" Id="rId3"/><Relationship Target="../tables/table1.xml" Type="http://schemas.openxmlformats.org/officeDocument/2006/relationships/table" Id="rId7"/><Relationship Target="../drawings/drawing2.xml" Type="http://schemas.openxmlformats.org/officeDocument/2006/relationships/drawing" Id="rId2"/><Relationship Target="../printerSettings/printerSettings2.bin" Type="http://schemas.openxmlformats.org/officeDocument/2006/relationships/printerSettings" Id="rId1"/><Relationship Target="../ctrlProps/ctrlProp3.xml" Type="http://schemas.openxmlformats.org/officeDocument/2006/relationships/ctrlProp" Id="rId6"/><Relationship Target="../ctrlProps/ctrlProp2.xml" Type="http://schemas.openxmlformats.org/officeDocument/2006/relationships/ctrlProp" Id="rId5"/><Relationship Target="../ctrlProps/ctrlProp1.xml" Type="http://schemas.openxmlformats.org/officeDocument/2006/relationships/ctrlProp" Id="rId4"/><Relationship Target="../threadedComments/threadedComment1.xml" Type="http://schemas.microsoft.com/office/2017/10/relationships/threadedComment" Id="rId9"/></Relationships>
</file>

<file path=xl/worksheets/_rels/sheet3.xml.rels><?xml version="1.0" encoding="UTF-8"?><Relationships xmlns="http://schemas.openxmlformats.org/package/2006/relationships"><Relationship Target="../comments2.xml" Type="http://schemas.openxmlformats.org/officeDocument/2006/relationships/comments" Id="rId8"/><Relationship Target="../drawings/vmlDrawing2.vml" Type="http://schemas.openxmlformats.org/officeDocument/2006/relationships/vmlDrawing" Id="rId3"/><Relationship Target="../tables/table2.xml" Type="http://schemas.openxmlformats.org/officeDocument/2006/relationships/table" Id="rId7"/><Relationship Target="../drawings/drawing3.xml" Type="http://schemas.openxmlformats.org/officeDocument/2006/relationships/drawing" Id="rId2"/><Relationship Target="../printerSettings/printerSettings3.bin" Type="http://schemas.openxmlformats.org/officeDocument/2006/relationships/printerSettings" Id="rId1"/><Relationship Target="../ctrlProps/ctrlProp6.xml" Type="http://schemas.openxmlformats.org/officeDocument/2006/relationships/ctrlProp" Id="rId6"/><Relationship Target="../ctrlProps/ctrlProp5.xml" Type="http://schemas.openxmlformats.org/officeDocument/2006/relationships/ctrlProp" Id="rId5"/><Relationship Target="../ctrlProps/ctrlProp4.xml" Type="http://schemas.openxmlformats.org/officeDocument/2006/relationships/ctrlProp" Id="rId4"/><Relationship Target="../threadedComments/threadedComment2.xml" Type="http://schemas.microsoft.com/office/2017/10/relationships/threadedComment" Id="rId9"/></Relationships>
</file>

<file path=xl/worksheets/_rels/sheet4.xml.rels><?xml version="1.0" encoding="UTF-8"?><Relationships xmlns="http://schemas.openxmlformats.org/package/2006/relationships"><Relationship Target="../comments3.xml" Type="http://schemas.openxmlformats.org/officeDocument/2006/relationships/comments" Id="rId8"/><Relationship Target="../drawings/vmlDrawing3.vml" Type="http://schemas.openxmlformats.org/officeDocument/2006/relationships/vmlDrawing" Id="rId3"/><Relationship Target="../tables/table3.xml" Type="http://schemas.openxmlformats.org/officeDocument/2006/relationships/table" Id="rId7"/><Relationship Target="../drawings/drawing4.xml" Type="http://schemas.openxmlformats.org/officeDocument/2006/relationships/drawing" Id="rId2"/><Relationship Target="../printerSettings/printerSettings4.bin" Type="http://schemas.openxmlformats.org/officeDocument/2006/relationships/printerSettings" Id="rId1"/><Relationship Target="../ctrlProps/ctrlProp9.xml" Type="http://schemas.openxmlformats.org/officeDocument/2006/relationships/ctrlProp" Id="rId6"/><Relationship Target="../ctrlProps/ctrlProp8.xml" Type="http://schemas.openxmlformats.org/officeDocument/2006/relationships/ctrlProp" Id="rId5"/><Relationship Target="../ctrlProps/ctrlProp7.xml" Type="http://schemas.openxmlformats.org/officeDocument/2006/relationships/ctrlProp" Id="rId4"/><Relationship Target="../threadedComments/threadedComment3.xml" Type="http://schemas.microsoft.com/office/2017/10/relationships/threadedComment" Id="rId9"/></Relationships>
</file>

<file path=xl/worksheets/_rels/sheet5.xml.rels><?xml version="1.0" encoding="UTF-8"?><Relationships xmlns="http://schemas.openxmlformats.org/package/2006/relationships"><Relationship Target="../printerSettings/printerSettings5.bin" Type="http://schemas.openxmlformats.org/officeDocument/2006/relationships/printerSettings" Id="rId1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D3:J29"/>
  <sheetViews>
    <sheetView showGridLines="false" view="pageBreakPreview" topLeftCell="C3" zoomScaleNormal="85" zoomScaleSheetLayoutView="100" workbookViewId="0">
      <selection activeCell="D5" sqref="D5:J5"/>
    </sheetView>
  </sheetViews>
  <sheetFormatPr defaultColWidth="0.0" defaultRowHeight="15" zeroHeight="true"/>
  <cols>
    <col min="1" max="2" width="3.28515625" style="28" hidden="true" customWidth="true"/>
    <col min="3" max="3" width="2.42578125" style="28" customWidth="true"/>
    <col min="4" max="4" width="13.7109375" style="28" customWidth="true"/>
    <col min="5" max="5" width="51.28515625" style="29" bestFit="true" customWidth="true"/>
    <col min="6" max="6" width="15.7109375" style="30" bestFit="true" customWidth="true"/>
    <col min="7" max="9" width="13.28515625" style="28" customWidth="true"/>
    <col min="10" max="10" width="48.7109375" style="28" customWidth="true"/>
    <col min="11" max="11" width="2.42578125" style="28" customWidth="true"/>
    <col min="12" max="12" width="0.0" style="28" hidden="true" customWidth="true"/>
    <col min="13" max="16384" width="9" style="28" hidden="true"/>
  </cols>
  <sheetData>
    <row r="3"/>
    <row r="4" ht="18.75">
      <c r="D4" s="38" t="s">
        <v>113</v>
      </c>
      <c r="E4" s="39"/>
      <c r="F4" s="40"/>
      <c r="G4" s="41"/>
      <c r="H4" s="41"/>
      <c r="I4" s="41"/>
      <c r="J4" s="31" t="s">
        <v>82</v>
      </c>
    </row>
    <row r="5" ht="35.25">
      <c r="D5" s="50" t="s">
        <v>36</v>
      </c>
      <c r="E5" s="50"/>
      <c r="F5" s="50"/>
      <c r="G5" s="50"/>
      <c r="H5" s="50"/>
      <c r="I5" s="50"/>
      <c r="J5" s="50"/>
    </row>
    <row r="6" ht="18.75">
      <c r="D6" s="37" t="s">
        <v>30</v>
      </c>
      <c r="E6" s="37" t="s">
        <v>103</v>
      </c>
      <c r="F6" s="37" t="s">
        <v>31</v>
      </c>
      <c r="G6" s="37" t="s">
        <v>32</v>
      </c>
      <c r="H6" s="37" t="s">
        <v>33</v>
      </c>
      <c r="I6" s="37" t="s">
        <v>34</v>
      </c>
      <c r="J6" s="37" t="s">
        <v>35</v>
      </c>
    </row>
    <row r="7" ht="56.25">
      <c r="D7" s="32">
        <v>1</v>
      </c>
      <c r="E7" s="33" t="s">
        <v>112</v>
      </c>
      <c r="F7" s="34">
        <v>44720</v>
      </c>
      <c r="G7" s="32" t="s">
        <v>37</v>
      </c>
      <c r="H7" s="32"/>
      <c r="I7" s="32"/>
      <c r="J7" s="33"/>
    </row>
    <row r="8" ht="37.5">
      <c r="D8" s="32">
        <v>2</v>
      </c>
      <c r="E8" s="33" t="s">
        <v>109</v>
      </c>
      <c r="F8" s="34">
        <v>44818</v>
      </c>
      <c r="G8" s="32" t="s">
        <v>37</v>
      </c>
      <c r="H8" s="32"/>
      <c r="I8" s="32"/>
      <c r="J8" s="33"/>
    </row>
    <row r="9" ht="18.75">
      <c r="D9" s="32">
        <v>3</v>
      </c>
      <c r="E9" s="33"/>
      <c r="F9" s="34"/>
      <c r="G9" s="32"/>
      <c r="H9" s="32"/>
      <c r="I9" s="32"/>
      <c r="J9" s="33"/>
    </row>
    <row r="10" ht="18.75">
      <c r="D10" s="32">
        <v>4</v>
      </c>
      <c r="E10" s="33"/>
      <c r="F10" s="34"/>
      <c r="G10" s="32"/>
      <c r="H10" s="32"/>
      <c r="I10" s="32"/>
      <c r="J10" s="33"/>
    </row>
    <row r="11" ht="18.75">
      <c r="D11" s="32">
        <v>5</v>
      </c>
      <c r="E11" s="33"/>
      <c r="F11" s="34"/>
      <c r="G11" s="32"/>
      <c r="H11" s="32"/>
      <c r="I11" s="32"/>
      <c r="J11" s="33"/>
    </row>
    <row r="12" ht="18.75">
      <c r="D12" s="32">
        <v>6</v>
      </c>
      <c r="E12" s="33"/>
      <c r="F12" s="34"/>
      <c r="G12" s="32"/>
      <c r="H12" s="32"/>
      <c r="I12" s="32"/>
      <c r="J12" s="33"/>
    </row>
    <row r="13" ht="18.75">
      <c r="D13" s="32">
        <v>7</v>
      </c>
      <c r="E13" s="33"/>
      <c r="F13" s="34"/>
      <c r="G13" s="32"/>
      <c r="H13" s="32"/>
      <c r="I13" s="32"/>
      <c r="J13" s="33"/>
    </row>
    <row r="14" ht="18.75">
      <c r="D14" s="32">
        <v>8</v>
      </c>
      <c r="E14" s="33"/>
      <c r="F14" s="34"/>
      <c r="G14" s="32"/>
      <c r="H14" s="32"/>
      <c r="I14" s="32"/>
      <c r="J14" s="33"/>
    </row>
    <row r="15" ht="18.75">
      <c r="D15" s="32">
        <v>9</v>
      </c>
      <c r="E15" s="33"/>
      <c r="F15" s="34"/>
      <c r="G15" s="32"/>
      <c r="H15" s="32"/>
      <c r="I15" s="32"/>
      <c r="J15" s="33"/>
    </row>
    <row r="16" ht="18.75">
      <c r="D16" s="32">
        <v>10</v>
      </c>
      <c r="E16" s="33"/>
      <c r="F16" s="34"/>
      <c r="G16" s="32"/>
      <c r="H16" s="32"/>
      <c r="I16" s="32"/>
      <c r="J16" s="3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true" selectUnlockedCells="true"/>
  <mergeCells count="1">
    <mergeCell ref="D5:J5"/>
  </mergeCells>
  <hyperlinks>
    <hyperlink ref="J4" r:id="rId1" display="https://www.jkscottresearchgroup.com/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J12"/>
  <sheetViews>
    <sheetView showGridLines="false" tabSelected="true" topLeftCell="A2" zoomScaleNormal="100" zoomScaleSheetLayoutView="70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.0" defaultRowHeight="14.65" customHeight="true" zeroHeight="true"/>
  <cols>
    <col min="1" max="1" width="17" style="3" bestFit="true" customWidth="true"/>
    <col min="2" max="2" width="22.140625" style="3" customWidth="true"/>
    <col min="3" max="3" width="20" style="3" customWidth="true"/>
    <col min="4" max="4" width="24.140625" style="3" customWidth="true"/>
    <col min="5" max="5" width="17.28515625" style="3" customWidth="true"/>
    <col min="6" max="6" width="13.140625" style="3" hidden="true" customWidth="true"/>
    <col min="7" max="9" width="15" style="3" hidden="true" customWidth="true"/>
    <col min="10" max="10" width="57.42578125" style="3" customWidth="true"/>
    <col min="11" max="16384" width="8.7109375" style="3" hidden="true"/>
  </cols>
  <sheetData>
    <row r="2" ht="15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ht="18.75">
      <c r="A3" s="51" t="s">
        <v>29</v>
      </c>
      <c r="B3" s="51"/>
      <c r="C3" s="51"/>
      <c r="D3" s="51"/>
      <c r="E3" s="51"/>
      <c r="F3" s="51"/>
      <c r="G3" s="51"/>
      <c r="H3" s="51"/>
      <c r="I3" s="51"/>
      <c r="J3" s="51"/>
    </row>
    <row r="4" ht="14.65" customHeight="true">
      <c r="A4" s="13"/>
      <c r="B4" s="14"/>
      <c r="C4" s="36"/>
      <c r="D4" s="15"/>
      <c r="E4" s="15"/>
      <c r="F4" s="15"/>
      <c r="G4" s="15"/>
      <c r="H4" s="15"/>
      <c r="I4" s="14"/>
      <c r="J4" s="52" t="str">
        <f>IF(COUNTIF(Table132[Test 3],1)=COUNTA(Table132[Value]),"Ready","Not Ready")</f>
        <v>Ready</v>
      </c>
    </row>
    <row r="5" ht="14.65" customHeight="true">
      <c r="A5" s="13"/>
      <c r="B5" s="14"/>
      <c r="C5" s="36"/>
      <c r="D5" s="15"/>
      <c r="E5" s="15"/>
      <c r="F5" s="15"/>
      <c r="G5" s="15"/>
      <c r="H5" s="15"/>
      <c r="I5" s="15"/>
      <c r="J5" s="53"/>
    </row>
    <row r="6" ht="14.65" customHeight="true">
      <c r="A6" s="13"/>
      <c r="B6" s="14"/>
      <c r="C6" s="36"/>
      <c r="D6" s="15"/>
      <c r="E6" s="15"/>
      <c r="F6" s="15"/>
      <c r="G6" s="15"/>
      <c r="H6" s="15"/>
      <c r="I6" s="15"/>
      <c r="J6" s="53"/>
    </row>
    <row r="7" ht="14.65" customHeight="true">
      <c r="A7" s="13"/>
      <c r="B7" s="14"/>
      <c r="C7" s="36"/>
      <c r="D7" s="15"/>
      <c r="E7" s="15"/>
      <c r="F7" s="15"/>
      <c r="G7" s="15"/>
      <c r="H7" s="15"/>
      <c r="I7" s="15"/>
      <c r="J7" s="53"/>
    </row>
    <row r="8" ht="14.65" customHeight="true">
      <c r="A8" s="16"/>
      <c r="B8" s="17"/>
      <c r="C8" s="18"/>
      <c r="D8" s="19"/>
      <c r="E8" s="19"/>
      <c r="F8" s="19"/>
      <c r="G8" s="19"/>
      <c r="H8" s="19"/>
      <c r="I8" s="19"/>
      <c r="J8" s="54"/>
    </row>
    <row r="9" ht="15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ht="120">
      <c r="A10" s="4" t="s">
        <v>4</v>
      </c>
      <c r="B10" s="27">
        <v>50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118</v>
      </c>
    </row>
    <row r="11" ht="45">
      <c r="A11" s="4" t="s">
        <v>106</v>
      </c>
      <c r="B11" s="27">
        <v>100</v>
      </c>
      <c r="C11" s="2" t="s">
        <v>3</v>
      </c>
      <c r="D11" s="1" t="s">
        <v>24</v>
      </c>
      <c r="E11" s="1" t="s">
        <v>7</v>
      </c>
      <c r="F11" s="2" t="s">
        <v>45</v>
      </c>
      <c r="G11" s="1">
        <v>1</v>
      </c>
      <c r="H11" s="1">
        <v>1</v>
      </c>
      <c r="I11" s="6">
        <v>1</v>
      </c>
      <c r="J11" s="5" t="s">
        <v>107</v>
      </c>
    </row>
    <row r="12" ht="15">
      <c r="A12" s="8" t="s">
        <v>75</v>
      </c>
      <c r="B12" s="47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sheet="true" objects="true" scenarios="true" selectLockedCells="true"/>
  <mergeCells count="2">
    <mergeCell ref="A3:J3"/>
    <mergeCell ref="J4:J8"/>
  </mergeCells>
  <conditionalFormatting sqref="B10:B12">
    <cfRule type="expression" dxfId="59" priority="1">
      <formula>IF(AND($B10&lt;&gt;"",$I10=0),1,0)</formula>
    </cfRule>
    <cfRule type="expression" dxfId="58" priority="2">
      <formula>IF($B10&lt;&gt;"",1,0)</formula>
    </cfRule>
    <cfRule type="expression" dxfId="57" priority="3">
      <formula>$I10 = 0</formula>
    </cfRule>
  </conditionalFormatting>
  <conditionalFormatting sqref="J4">
    <cfRule type="expression" dxfId="56" priority="1918">
      <formula>IF(COUNTA($B$10:$B$12)&lt;&gt;COUNTIF($I$10:$I$12,1),1,0)</formula>
    </cfRule>
    <cfRule type="expression" dxfId="55" priority="1919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tableParts count="1">
    <tablePart r:id="rId7"/>
  </tablePar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AB8191F-D5A5-4883-8B36-5132CBEEBF34}">
          <x14:formula1>
            <xm:f>Reference!$C$2:$C$23</xm:f>
          </x14:formula1>
          <xm:sqref>F10:F12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D10:D12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4401F-93D1-4CE5-BCAE-AEC00902C7AE}">
  <sheetPr codeName="Sheet7">
    <tabColor rgb="FF00B050"/>
  </sheetPr>
  <dimension ref="A2:J13"/>
  <sheetViews>
    <sheetView showGridLines="false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.0" defaultRowHeight="14.65" customHeight="true" zeroHeight="true"/>
  <cols>
    <col min="1" max="1" width="17" style="3" bestFit="true" customWidth="true"/>
    <col min="2" max="2" width="22.140625" style="3" customWidth="true"/>
    <col min="3" max="3" width="20" style="3" customWidth="true"/>
    <col min="4" max="4" width="24.140625" style="3" customWidth="true"/>
    <col min="5" max="5" width="17.28515625" style="3" customWidth="true"/>
    <col min="6" max="6" width="13.140625" style="3" hidden="true" customWidth="true"/>
    <col min="7" max="9" width="15" style="3" hidden="true" customWidth="true"/>
    <col min="10" max="10" width="57.42578125" style="3" customWidth="true"/>
    <col min="11" max="14" width="0.0" style="3" hidden="true" customWidth="true"/>
    <col min="15" max="16384" width="8.7109375" style="3" hidden="true"/>
  </cols>
  <sheetData>
    <row r="2" ht="15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ht="18.75">
      <c r="A3" s="51" t="s">
        <v>29</v>
      </c>
      <c r="B3" s="51"/>
      <c r="C3" s="51"/>
      <c r="D3" s="51"/>
      <c r="E3" s="51"/>
      <c r="F3" s="51"/>
      <c r="G3" s="51"/>
      <c r="H3" s="51"/>
      <c r="I3" s="51"/>
      <c r="J3" s="51"/>
    </row>
    <row r="4" ht="14.65" customHeight="true">
      <c r="A4" s="13"/>
      <c r="B4" s="14"/>
      <c r="C4" s="36"/>
      <c r="D4" s="15"/>
      <c r="E4" s="15"/>
      <c r="F4" s="15"/>
      <c r="G4" s="15"/>
      <c r="H4" s="15"/>
      <c r="I4" s="14"/>
      <c r="J4" s="52" t="str">
        <f>IF(COUNTIF(Table134[Test 3],1)=COUNTA(Table134[Value]),"Ready","Not Ready")</f>
        <v>Ready</v>
      </c>
    </row>
    <row r="5" ht="14.65" customHeight="true">
      <c r="A5" s="13"/>
      <c r="B5" s="14"/>
      <c r="C5" s="36"/>
      <c r="D5" s="15"/>
      <c r="E5" s="15"/>
      <c r="F5" s="15"/>
      <c r="G5" s="15"/>
      <c r="H5" s="15"/>
      <c r="I5" s="15"/>
      <c r="J5" s="53"/>
    </row>
    <row r="6" ht="14.65" customHeight="true">
      <c r="A6" s="13"/>
      <c r="B6" s="14"/>
      <c r="C6" s="36"/>
      <c r="D6" s="15"/>
      <c r="E6" s="15"/>
      <c r="F6" s="15"/>
      <c r="G6" s="15"/>
      <c r="H6" s="15"/>
      <c r="I6" s="15"/>
      <c r="J6" s="53"/>
    </row>
    <row r="7" ht="14.65" customHeight="true">
      <c r="A7" s="13"/>
      <c r="B7" s="14"/>
      <c r="C7" s="36"/>
      <c r="D7" s="15"/>
      <c r="E7" s="15"/>
      <c r="F7" s="15"/>
      <c r="G7" s="15"/>
      <c r="H7" s="15"/>
      <c r="I7" s="15"/>
      <c r="J7" s="53"/>
    </row>
    <row r="8" ht="14.65" customHeight="true">
      <c r="A8" s="16"/>
      <c r="B8" s="17"/>
      <c r="C8" s="18"/>
      <c r="D8" s="19"/>
      <c r="E8" s="19"/>
      <c r="F8" s="19"/>
      <c r="G8" s="19"/>
      <c r="H8" s="19"/>
      <c r="I8" s="19"/>
      <c r="J8" s="54"/>
    </row>
    <row r="9" ht="15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ht="90">
      <c r="A10" s="4" t="s">
        <v>95</v>
      </c>
      <c r="B10" s="27" t="s">
        <v>99</v>
      </c>
      <c r="C10" s="2" t="s">
        <v>3</v>
      </c>
      <c r="D10" s="1" t="s">
        <v>24</v>
      </c>
      <c r="E10" s="1" t="s">
        <v>9</v>
      </c>
      <c r="F10" s="2" t="s">
        <v>39</v>
      </c>
      <c r="G10" s="1">
        <v>1</v>
      </c>
      <c r="H10" s="1">
        <v>1</v>
      </c>
      <c r="I10" s="6">
        <v>1</v>
      </c>
      <c r="J10" s="5" t="s">
        <v>110</v>
      </c>
    </row>
    <row r="11" ht="45">
      <c r="A11" s="48" t="s">
        <v>115</v>
      </c>
      <c r="B11" s="46">
        <v>9.9999999999999995E-7</v>
      </c>
      <c r="C11" s="49"/>
      <c r="D11" s="1" t="s">
        <v>24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5" t="s">
        <v>117</v>
      </c>
    </row>
    <row r="12" ht="45">
      <c r="A12" s="48" t="s">
        <v>116</v>
      </c>
      <c r="B12" s="46">
        <v>1E-3</v>
      </c>
      <c r="C12" s="49"/>
      <c r="D12" s="1" t="s">
        <v>24</v>
      </c>
      <c r="E12" s="1" t="s">
        <v>7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ht="15">
      <c r="A13" s="8" t="s">
        <v>75</v>
      </c>
      <c r="B13" s="27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76</v>
      </c>
    </row>
  </sheetData>
  <sheetProtection sheet="true" objects="true" scenarios="true" selectLockedCells="true"/>
  <mergeCells count="2">
    <mergeCell ref="A3:J3"/>
    <mergeCell ref="J4:J8"/>
  </mergeCells>
  <conditionalFormatting sqref="B10:B13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IF(COUNTA($B$10:$B$13)&lt;&gt;COUNTIF($I$10:$I$13,1),1,0)</formula>
    </cfRule>
    <cfRule type="expression" dxfId="35" priority="1935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tableParts count="1">
    <tablePart r:id="rId7"/>
  </tablePar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1DA2FAB9-88CC-4CAE-A5E9-8E19A9FA1FE9}">
          <x14:formula1>
            <xm:f>Reference!$C$2:$C$23</xm:f>
          </x14:formula1>
          <xm:sqref>F10:F13</xm:sqref>
        </x14:dataValidation>
        <x14:dataValidation type="list" allowBlank="1" showInputMessage="1" showErrorMessage="1" xr:uid="{1072503C-EAD1-4766-96E7-090AB656E30D}">
          <x14:formula1>
            <xm:f>Reference!$B$2:$B$18</xm:f>
          </x14:formula1>
          <xm:sqref>D10:D13</xm:sqref>
        </x14:dataValidation>
        <x14:dataValidation type="list" allowBlank="1" showInputMessage="1" showErrorMessage="1" xr:uid="{08C43EF1-400F-4581-B60E-5E8A441790F8}">
          <x14:formula1>
            <xm:f>Reference!$A$2:$A$8</xm:f>
          </x14:formula1>
          <xm:sqref>E10:E13</xm:sqref>
        </x14:dataValidation>
        <x14:dataValidation type="list" allowBlank="1" showInputMessage="1" showErrorMessage="1" xr:uid="{9267AE52-793A-48F7-A3B8-0D172D49F9AB}">
          <x14:formula1>
            <xm:f>Reference!$U$2:$U$9</xm:f>
          </x14:formula1>
          <xm:sqref>B10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1"/>
  <sheetViews>
    <sheetView showGridLines="false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.0" defaultRowHeight="15" zeroHeight="true"/>
  <cols>
    <col min="1" max="1" width="17" style="3" bestFit="true" customWidth="true"/>
    <col min="2" max="2" width="22.140625" style="3" customWidth="true"/>
    <col min="3" max="3" width="20" style="3" customWidth="true"/>
    <col min="4" max="4" width="24.140625" style="3" customWidth="true"/>
    <col min="5" max="5" width="17.28515625" style="3" customWidth="true"/>
    <col min="6" max="6" width="13.140625" style="3" hidden="true" customWidth="true"/>
    <col min="7" max="9" width="15" style="3" hidden="true" customWidth="true"/>
    <col min="10" max="10" width="57.42578125" style="3" customWidth="true"/>
    <col min="11" max="16384" width="8.7109375" style="3" hidden="true"/>
  </cols>
  <sheetData>
    <row r="2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ht="18.75">
      <c r="A3" s="51" t="s">
        <v>29</v>
      </c>
      <c r="B3" s="51"/>
      <c r="C3" s="51"/>
      <c r="D3" s="51"/>
      <c r="E3" s="51"/>
      <c r="F3" s="51"/>
      <c r="G3" s="51"/>
      <c r="H3" s="51"/>
      <c r="I3" s="51"/>
      <c r="J3" s="51"/>
    </row>
    <row r="4" ht="14.65" customHeight="true">
      <c r="A4" s="13"/>
      <c r="B4" s="14"/>
      <c r="C4" s="36"/>
      <c r="D4" s="15"/>
      <c r="E4" s="15"/>
      <c r="F4" s="15"/>
      <c r="G4" s="15"/>
      <c r="H4" s="15"/>
      <c r="I4" s="14"/>
      <c r="J4" s="52" t="str">
        <f>IF(COUNTIF(Table13[Test 3],1)=COUNTA(Table13[Value]),"Ready","Not Ready")</f>
        <v>Ready</v>
      </c>
    </row>
    <row r="5" ht="14.65" customHeight="true">
      <c r="A5" s="13"/>
      <c r="B5" s="14"/>
      <c r="C5" s="36"/>
      <c r="D5" s="15"/>
      <c r="E5" s="15"/>
      <c r="F5" s="15"/>
      <c r="G5" s="15"/>
      <c r="H5" s="15"/>
      <c r="I5" s="15"/>
      <c r="J5" s="53"/>
    </row>
    <row r="6" ht="14.65" customHeight="true">
      <c r="A6" s="13"/>
      <c r="B6" s="14"/>
      <c r="C6" s="36"/>
      <c r="D6" s="15"/>
      <c r="E6" s="15"/>
      <c r="F6" s="15"/>
      <c r="G6" s="15"/>
      <c r="H6" s="15"/>
      <c r="I6" s="15"/>
      <c r="J6" s="53"/>
    </row>
    <row r="7" ht="14.65" customHeight="true">
      <c r="A7" s="13"/>
      <c r="B7" s="14"/>
      <c r="C7" s="36"/>
      <c r="D7" s="15"/>
      <c r="E7" s="15"/>
      <c r="F7" s="15"/>
      <c r="G7" s="15"/>
      <c r="H7" s="15"/>
      <c r="I7" s="15"/>
      <c r="J7" s="53"/>
    </row>
    <row r="8" ht="14.65" customHeight="true">
      <c r="A8" s="16"/>
      <c r="B8" s="17"/>
      <c r="C8" s="18"/>
      <c r="D8" s="19"/>
      <c r="E8" s="19"/>
      <c r="F8" s="19"/>
      <c r="G8" s="19"/>
      <c r="H8" s="19"/>
      <c r="I8" s="19"/>
      <c r="J8" s="54"/>
    </row>
    <row r="9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ht="60">
      <c r="A10" s="4" t="s">
        <v>108</v>
      </c>
      <c r="B10" s="46">
        <v>1E-8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111</v>
      </c>
    </row>
    <row r="11">
      <c r="A11" s="8" t="s">
        <v>75</v>
      </c>
      <c r="B11" s="27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76</v>
      </c>
    </row>
  </sheetData>
  <sheetProtection sheet="true" objects="true" scenarios="true" selectLockedCells="true"/>
  <mergeCells count="2">
    <mergeCell ref="A3:J3"/>
    <mergeCell ref="J4:J8"/>
  </mergeCells>
  <phoneticPr fontId="1" type="noConversion"/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IF(COUNTA($B$10:$B$11)&lt;&gt;COUNTIF($I$10:$I$11,1),1,0)</formula>
    </cfRule>
    <cfRule type="expression" dxfId="15" priority="1943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tableParts count="1">
    <tablePart r:id="rId7"/>
  </tablePar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93FB6AB-5634-443B-93CC-4E33E6DFB43B}">
          <x14:formula1>
            <xm:f>Reference!$A$2:$A$8</xm:f>
          </x14:formula1>
          <xm:sqref>E10:E11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D10:D11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3"/>
  <sheetViews>
    <sheetView showGridLines="false" zoomScale="85" zoomScaleNormal="85" zoomScaleSheetLayoutView="55" workbookViewId="0">
      <pane ySplit="1" topLeftCell="A2" activePane="bottomLeft" state="frozen"/>
      <selection activeCell="D4" sqref="D4:J4"/>
      <selection pane="bottomLeft" activeCell="C11" sqref="C11"/>
    </sheetView>
  </sheetViews>
  <sheetFormatPr defaultColWidth="0.0" defaultRowHeight="0.0" customHeight="true" zeroHeight="true"/>
  <cols>
    <col min="1" max="2" width="8.7109375" style="42" customWidth="true"/>
    <col min="3" max="3" width="13.140625" style="42" customWidth="true"/>
    <col min="4" max="4" width="13.42578125" style="42" customWidth="true"/>
    <col min="5" max="6" width="8.7109375" style="42" customWidth="true"/>
    <col min="7" max="7" width="14.7109375" style="42" customWidth="true"/>
    <col min="8" max="8" width="11.7109375" style="42" customWidth="true"/>
    <col min="9" max="9" width="10.28515625" style="42" customWidth="true"/>
    <col min="10" max="10" width="5.7109375" style="42" customWidth="true"/>
    <col min="11" max="11" width="10.42578125" style="42" customWidth="true"/>
    <col min="12" max="17" width="8.7109375" style="42" customWidth="true"/>
    <col min="18" max="16384" width="8.7109375" style="42" hidden="true"/>
  </cols>
  <sheetData>
    <row r="1" ht="15">
      <c r="A1" s="20" t="s">
        <v>114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82</v>
      </c>
    </row>
    <row r="2" ht="15">
      <c r="A2" s="55" t="s">
        <v>105</v>
      </c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</row>
    <row r="3" ht="15">
      <c r="A3" s="43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</row>
    <row r="4" ht="15">
      <c r="A4" s="43"/>
      <c r="B4" s="44" t="s">
        <v>104</v>
      </c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</row>
    <row r="5" ht="15">
      <c r="A5" s="43"/>
      <c r="B5" s="45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</row>
    <row r="6" ht="15">
      <c r="A6" s="43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</row>
    <row r="7" ht="15">
      <c r="A7" s="43"/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</row>
    <row r="8" ht="15">
      <c r="A8" s="43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</row>
    <row r="9" ht="15">
      <c r="A9" s="43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</row>
    <row r="10" ht="15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</row>
    <row r="11" ht="15">
      <c r="A11" s="43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</row>
    <row r="12" ht="15">
      <c r="A12" s="43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</row>
    <row r="13" ht="15">
      <c r="A13" s="43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</row>
    <row r="14" ht="15">
      <c r="A14" s="43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</row>
    <row r="15" ht="15">
      <c r="A15" s="43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</row>
    <row r="16" ht="15">
      <c r="A16" s="43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</row>
    <row r="17" ht="15">
      <c r="A17" s="43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</row>
    <row r="18" ht="15">
      <c r="A18" s="43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</row>
    <row r="19" ht="15">
      <c r="A19" s="43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</row>
    <row r="20" ht="15">
      <c r="A20" s="43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</row>
    <row r="21" ht="15">
      <c r="A21" s="43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</row>
    <row r="22" ht="15">
      <c r="A22" s="43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</row>
    <row r="23" ht="15">
      <c r="A23" s="43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</row>
    <row r="24" ht="15">
      <c r="A24" s="43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</row>
    <row r="25" ht="15">
      <c r="A25" s="43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</row>
    <row r="26" ht="15">
      <c r="A26" s="43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</row>
    <row r="27" ht="15">
      <c r="A27" s="43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</row>
    <row r="28" ht="15">
      <c r="A28" s="43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</row>
    <row r="29" ht="15">
      <c r="A29" s="43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</row>
    <row r="30" ht="15">
      <c r="A30" s="43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</row>
    <row r="31" ht="15">
      <c r="A31" s="43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</row>
    <row r="32" ht="15">
      <c r="A32" s="43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</row>
    <row r="33" ht="15">
      <c r="A33" s="43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</row>
  </sheetData>
  <sheetProtection selectLockedCells="true" selectUnlockedCells="true"/>
  <mergeCells count="1">
    <mergeCell ref="A2:Q2"/>
  </mergeCells>
  <pageMargins left="0.7" right="0.7" top="0.75" bottom="0.75" header="0.3" footer="0.3"/>
  <pageSetup scale="2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109375" defaultRowHeight="15"/>
  <cols>
    <col min="1" max="1" width="12.7109375" customWidth="true"/>
    <col min="2" max="2" width="20.7109375" customWidth="true"/>
    <col min="3" max="3" width="17.28515625" customWidth="true"/>
    <col min="5" max="5" width="12" bestFit="true" customWidth="true"/>
    <col min="10" max="10" width="12.28515625" customWidth="true"/>
    <col min="15" max="15" width="12.7109375" bestFit="true" customWidth="true"/>
    <col min="17" max="17" width="20.7109375" bestFit="true" customWidth="true"/>
    <col min="21" max="21" width="10.42578125" customWidth="true"/>
  </cols>
  <sheetData>
    <row r="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>
      <c r="B13" t="s">
        <v>17</v>
      </c>
      <c r="C13" t="s">
        <v>51</v>
      </c>
      <c r="J13">
        <v>1</v>
      </c>
    </row>
    <row r="14">
      <c r="B14" t="s">
        <v>20</v>
      </c>
      <c r="C14" t="s">
        <v>52</v>
      </c>
      <c r="J14">
        <v>2</v>
      </c>
    </row>
    <row r="15">
      <c r="B15" t="s">
        <v>15</v>
      </c>
      <c r="C15" t="s">
        <v>53</v>
      </c>
    </row>
    <row r="16">
      <c r="B16" t="s">
        <v>57</v>
      </c>
      <c r="C16" t="s">
        <v>54</v>
      </c>
      <c r="J16" t="s">
        <v>93</v>
      </c>
    </row>
    <row r="17">
      <c r="B17" t="s">
        <v>18</v>
      </c>
      <c r="C17" t="s">
        <v>55</v>
      </c>
      <c r="J17" t="s">
        <v>8</v>
      </c>
    </row>
    <row r="18">
      <c r="B18" t="s">
        <v>19</v>
      </c>
      <c r="C18" t="s">
        <v>56</v>
      </c>
      <c r="J18">
        <v>1</v>
      </c>
    </row>
    <row r="19">
      <c r="C19" t="s">
        <v>28</v>
      </c>
      <c r="J19">
        <v>2</v>
      </c>
    </row>
    <row r="20">
      <c r="C20" t="s">
        <v>4</v>
      </c>
      <c r="J20">
        <v>3</v>
      </c>
    </row>
    <row r="21">
      <c r="C21" t="s">
        <v>41</v>
      </c>
      <c r="J21">
        <v>4</v>
      </c>
    </row>
    <row r="22">
      <c r="C22" t="s">
        <v>40</v>
      </c>
    </row>
    <row r="23">
      <c r="C23" t="s">
        <v>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109375" defaultRowHeight="15"/>
  <sheetData>
    <row r="1">
      <c r="A1" t="s">
        <v>85</v>
      </c>
    </row>
    <row r="2">
      <c r="A2" t="s">
        <v>83</v>
      </c>
    </row>
    <row r="3">
      <c r="A3" t="s">
        <v>84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I2"/>
  <sheetViews>
    <sheetView workbookViewId="0">
      <selection activeCell="CQ1" sqref="CQ1"/>
    </sheetView>
  </sheetViews>
  <sheetFormatPr defaultColWidth="8.7109375" defaultRowHeight="15"/>
  <cols>
    <col min="1" max="1" width="6.140625" customWidth="true"/>
    <col min="2" max="2" width="6.5703125" customWidth="true"/>
    <col min="3" max="3" width="7.42578125" customWidth="true"/>
    <col min="4" max="4" width="11.28515625" customWidth="true"/>
    <col min="5" max="5" width="10.5703125" customWidth="true"/>
    <col min="6" max="6" width="10.140625" customWidth="true"/>
    <col min="7" max="7" width="9.42578125" customWidth="true"/>
    <col min="8" max="8" width="9.140625" customWidth="true"/>
    <col min="9" max="9" width="9.42578125" customWidth="true"/>
  </cols>
  <sheetData>
    <row r="1">
      <c r="A1" s="0" t="s">
        <v>5059</v>
      </c>
      <c r="B1" s="0" t="s">
        <v>5060</v>
      </c>
      <c r="C1" s="0" t="s">
        <v>5061</v>
      </c>
      <c r="D1" s="0" t="s">
        <v>5062</v>
      </c>
      <c r="E1" s="0" t="s">
        <v>5064</v>
      </c>
      <c r="F1" s="0" t="s">
        <v>5065</v>
      </c>
      <c r="G1" s="0" t="s">
        <v>5066</v>
      </c>
      <c r="H1" s="0" t="s">
        <v>5067</v>
      </c>
      <c r="I1" s="0" t="s">
        <v>5068</v>
      </c>
    </row>
    <row r="2">
      <c r="A2" s="0">
        <v>20</v>
      </c>
      <c r="B2" s="0">
        <v>100</v>
      </c>
      <c r="C2" s="0"/>
      <c r="D2" s="0" t="s">
        <v>5063</v>
      </c>
      <c r="E2" s="0">
        <v>9.9999999999999995e-07</v>
      </c>
      <c r="F2" s="0">
        <v>0.001</v>
      </c>
      <c r="G2" s="0"/>
      <c r="H2" s="0">
        <v>1e-08</v>
      </c>
      <c r="I2" s="0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I2"/>
  <sheetViews>
    <sheetView workbookViewId="0">
      <selection activeCell="CQ1" sqref="CQ1"/>
    </sheetView>
  </sheetViews>
  <sheetFormatPr defaultColWidth="8.7109375" defaultRowHeight="15"/>
  <sheetData>
    <row r="1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Discretization</vt:lpstr>
      <vt:lpstr>Numerical Integration</vt:lpstr>
      <vt:lpstr>Numerical Thresholds</vt:lpstr>
      <vt:lpstr>Help</vt:lpstr>
      <vt:lpstr>Reference</vt:lpstr>
      <vt:lpstr>maintenance check list</vt:lpstr>
      <vt:lpstr>Data(Transposed)</vt:lpstr>
      <vt:lpstr>Data(Test)</vt:lpstr>
      <vt:lpstr>Discretization!Print_Area</vt:lpstr>
      <vt:lpstr>'Numerical Integration'!Print_Area</vt:lpstr>
      <vt:lpstr>'Numerical Thresholds'!Print_Area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Viktor Kalman</cp:lastModifiedBy>
  <cp:lastPrinted>2020-11-27T00:08:43Z</cp:lastPrinted>
  <dcterms:created xsi:type="dcterms:W3CDTF">2020-11-24T18:36:54Z</dcterms:created>
  <dcterms:modified xsi:type="dcterms:W3CDTF">2024-01-23T15:27:09Z</dcterms:modified>
</cp:coreProperties>
</file>