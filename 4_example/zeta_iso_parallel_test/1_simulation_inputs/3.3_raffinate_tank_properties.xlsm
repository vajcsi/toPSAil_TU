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kto\OneDrive\Dokumentumok\MATLAB\toPSAil\4_example\case_study_1.5\1_simulation_inputs\"/>
    </mc:Choice>
  </mc:AlternateContent>
  <xr:revisionPtr revIDLastSave="0" documentId="13_ncr:1_{20E8F715-F119-41B9-9F94-88AD74BC35EE}" xr6:coauthVersionLast="47" xr6:coauthVersionMax="47" xr10:uidLastSave="{00000000-0000-0000-0000-000000000000}"/>
  <bookViews>
    <workbookView xWindow="3315" yWindow="690" windowWidth="21210" windowHeight="13920" tabRatio="818" firstSheet="1" activeTab="2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0" i="44" l="1"/>
  <c r="I11" i="44"/>
  <c r="I12" i="44"/>
  <c r="I13" i="31"/>
  <c r="I11" i="31"/>
  <c r="I10" i="31"/>
  <c r="J4" i="44" l="1"/>
  <c r="J2" i="44"/>
  <c r="A2" i="44"/>
  <c r="J2" i="3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<sst xmlns="http://schemas.openxmlformats.org/spreadsheetml/2006/main" count="281" uniqueCount="140">
  <si>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</si>
  <si>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</si>
  <si>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</si>
  <si>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</si>
  <si>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</si>
  <si>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</si>
  <si>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</si>
  <si>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</si>
  <si>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</si>
  <si>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</si>
  <si>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</si>
  <si>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</si>
  <si>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</si>
  <si>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</si>
  <si>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</si>
  <si>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</si>
  <si>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</si>
  <si>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</si>
  <si>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</si>
  <si>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</si>
  <si>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</si>
  <si>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</si>
  <si>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</si>
  <si>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</si>
  <si>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</si>
  <si>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</si>
  <si>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</si>
  <si>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</si>
  <si>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</si>
  <si>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</si>
  <si>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</si>
  <si>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</si>
  <si>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</si>
  <si>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</si>
  <si>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</si>
  <si>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</si>
  <si>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</si>
  <si>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</si>
  <si>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</si>
  <si>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</si>
  <si>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</si>
  <si>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</si>
  <si>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</si>
  <si>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</si>
  <si>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</si>
  <si>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</si>
  <si>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</si>
  <si>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</si>
  <si>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</si>
  <si>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</si>
  <si>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</si>
  <si>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</si>
  <si>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</si>
  <si>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</si>
  <si>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</si>
  <si>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</si>
  <si>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</si>
  <si>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</si>
  <si>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</si>
  <si>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</si>
  <si>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</si>
  <si>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</si>
  <si>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</si>
  <si>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</si>
  <si>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</si>
  <si>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</si>
  <si>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</si>
  <si>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</si>
  <si>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</si>
  <si>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</si>
  <si>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</si>
  <si>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</si>
  <si>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</si>
  <si>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</si>
  <si>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</si>
  <si>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</si>
  <si>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</si>
  <si>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</si>
  <si>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</si>
  <si>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</si>
  <si>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</si>
  <si>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</si>
  <si>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</si>
  <si>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</si>
  <si>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</si>
  <si>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</si>
  <si>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</si>
  <si>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</si>
  <si>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</si>
  <si>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</si>
  <si>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</si>
  <si>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</si>
  <si>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</si>
  <si>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</si>
  <si>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</si>
  <si>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</si>
  <si>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</si>
  <si>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</si>
  <si>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</si>
  <si>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</si>
  <si>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</si>
  <si>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inConRaTa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</si>
  <si>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</si>
  <si>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</si>
  <si>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</si>
  <si>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</si>
  <si>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</si>
  <si>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</si>
  <si>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</si>
  <si>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</si>
  <si>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</si>
  <si>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</si>
  <si>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</si>
  <si>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</si>
  <si>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</si>
  <si>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</si>
  <si>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</si>
  <si>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</si>
  <si>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</si>
  <si>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</si>
  <si>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</si>
  <si>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</si>
  <si>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</si>
  <si>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</si>
  <si>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</si>
  <si>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</si>
  <si>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</si>
  <si>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</si>
  <si>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</si>
  <si>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</si>
  <si>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</si>
  <si>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</si>
  <si>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</si>
  <si>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</si>
  <si>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</si>
  <si>
    <t>1 = raffinate product gas with no heavy keys at the high pressure
2 = raffinate product gas with no heavy keys at the raffinate product pressure
3 = raffinate product gas at a high pressure
4 = raffinate product gas at a raffinate product pressure</t>
  </si>
  <si>
    <t>the heat transfer coefficient from the raffinate tank to its wall</t>
  </si>
  <si>
    <t>the heat transfer coefficient from the raffinate tank wall to the ambient environment</t>
  </si>
  <si>
    <t>the wall density for the raffinate tank</t>
  </si>
  <si>
    <t>the heat capacity of the raffinate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</si>
</sst>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vertAlign val="superscript"/>
      <sz val="11"/>
      <color theme="1"/>
      <name val="Consolas"/>
      <family val="3"/>
    </font>
    <font>
      <b/>
      <i/>
      <sz val="11"/>
      <color theme="1"/>
      <name val="Consolas"/>
      <family val="2"/>
    </font>
    <font>
      <b/>
      <i/>
      <sz val="14"/>
      <color rgb="FFFF0000"/>
      <name val="Calibri"/>
      <family val="2"/>
      <charset val="238"/>
    </font>
    <font>
      <b/>
      <i/>
      <sz val="14"/>
      <color rgb="FF339966"/>
      <name val="Calibri"/>
      <family val="2"/>
      <charset val="238"/>
    </font>
    <font>
      <b/>
      <i/>
      <sz val="14"/>
      <color rgb="FFFF9900"/>
      <name val="Calibri"/>
      <family val="2"/>
      <charset val="238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2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4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16" fillId="2" borderId="1" xfId="0" applyFont="1" applyFill="1" applyBorder="1" applyAlignment="1" applyProtection="1">
      <alignment horizontal="center" vertical="center"/>
      <protection locked="0"/>
    </xf>
    <xf numFmtId="0" fontId="4" fillId="6" borderId="1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b/>
        <i/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6096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vikto\OneDrive\Dokumentumok\MATLAB\toPSAil\4_example\case_study_1.5\1_simulation_inputs\0.1_simulation_configurations.xlsm" TargetMode="External"/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3" dataDxfId="81" headerRowBorderDxfId="82" tableBorderDxfId="80" totalsRowBorderDxfId="79">
  <autoFilter ref="A9:J13" xr:uid="{B089C5C3-2CCE-4800-96CA-2131BB6E3E4F}"/>
  <tableColumns count="10">
    <tableColumn id="1" xr3:uid="{3E4F27FA-9CCD-488C-9FFE-8189DF89B2B5}" name="Variable" dataDxfId="78"/>
    <tableColumn id="4" xr3:uid="{4D38B92D-B1E9-4DDE-B914-6A4E9DB63C9E}" name="Value" dataDxfId="77"/>
    <tableColumn id="5" xr3:uid="{DE2ACEA5-F459-4C5B-ADEC-6214F75935FA}" name="Unit" dataDxfId="76"/>
    <tableColumn id="6" xr3:uid="{BBE9846A-4956-4FAF-848B-0B1F56311296}" name="Comparisons" dataDxfId="75"/>
    <tableColumn id="7" xr3:uid="{7604F104-935C-4D6C-98BF-97589769DD42}" name="Variable Type" dataDxfId="74"/>
    <tableColumn id="8" xr3:uid="{7D3892CD-8765-4699-977F-B3AA8A9AB120}" name="Dependency" dataDxfId="73"/>
    <tableColumn id="12" xr3:uid="{161D2FD1-7A78-4D8E-8024-885B20FF313F}" name="Test 1" dataDxfId="72"/>
    <tableColumn id="10" xr3:uid="{1AA44E52-6629-487F-B43F-5CEC7D36BB2A}" name="Test 2" dataDxfId="71"/>
    <tableColumn id="2" xr3:uid="{6AF5B301-E925-40CD-B0FD-ED73E5B71C10}" name="Test 3" dataDxfId="70"/>
    <tableColumn id="9" xr3:uid="{29E572B6-C772-4761-B1A5-7C1BBC5A9A8E}" name="Description" dataDxfId="6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0" dataDxfId="58" headerRowBorderDxfId="59" tableBorderDxfId="57" totalsRowBorderDxfId="56">
  <autoFilter ref="A9:J13" xr:uid="{B089C5C3-2CCE-4800-96CA-2131BB6E3E4F}"/>
  <tableColumns count="10">
    <tableColumn id="1" xr3:uid="{33A6A58D-364D-4A35-922C-DE212771E5A3}" name="Variable" dataDxfId="55"/>
    <tableColumn id="4" xr3:uid="{941C2A7D-BF3F-418E-B42D-DD80A4DE2A81}" name="Value" dataDxfId="54"/>
    <tableColumn id="5" xr3:uid="{C4E86D48-03E8-46FA-B8CA-6F5D6C6A2D12}" name="Unit" dataDxfId="53"/>
    <tableColumn id="6" xr3:uid="{665361F6-20BF-415D-BBF1-F45B832A29DE}" name="Comparisons" dataDxfId="52"/>
    <tableColumn id="7" xr3:uid="{F7A189BB-30E4-471C-9393-FF44966433C9}" name="Variable Type" dataDxfId="51"/>
    <tableColumn id="8" xr3:uid="{536CEEB4-5D6D-4FC9-B347-8D4F6CE10C67}" name="Dependency" dataDxfId="50"/>
    <tableColumn id="12" xr3:uid="{41F5DBE5-C5A3-4D63-A4BF-9774F11F14D3}" name="Test 1" dataDxfId="49"/>
    <tableColumn id="10" xr3:uid="{75ACAF5C-BDFE-45DE-AD7B-8EA0171A905D}" name="Test 2" dataDxfId="48"/>
    <tableColumn id="2" xr3:uid="{E0C16DCE-CCB9-4239-B5AF-7F90FE1422EF}" name="Test 3" dataDxfId="47"/>
    <tableColumn id="9" xr3:uid="{11A90378-9784-4E77-9A9A-BDE1BD80CAC4}" name="Description" dataDxfId="4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4" dataDxfId="32" headerRowBorderDxfId="33" tableBorderDxfId="31" totalsRowBorderDxfId="30">
  <autoFilter ref="A9:J14" xr:uid="{B089C5C3-2CCE-4800-96CA-2131BB6E3E4F}"/>
  <tableColumns count="10">
    <tableColumn id="1" xr3:uid="{897C7A45-3F96-4FAD-9D88-64BEDA59EE04}" name="Variable" dataDxfId="29"/>
    <tableColumn id="4" xr3:uid="{AC44F3C7-74B4-4404-BA30-07059568F4CD}" name="Value" dataDxfId="28"/>
    <tableColumn id="5" xr3:uid="{6083DF57-24E4-4D4A-B84A-AB4CE9566C0A}" name="Unit" dataDxfId="27"/>
    <tableColumn id="6" xr3:uid="{7B5B4F38-11BC-48C2-B29A-22FAFA39A76A}" name="Comparisons" dataDxfId="26"/>
    <tableColumn id="7" xr3:uid="{687831A6-7122-45C8-9279-6A017FA30571}" name="Variable Type" dataDxfId="25"/>
    <tableColumn id="8" xr3:uid="{F0D98687-63CA-49F2-A0F5-F43443FEED82}" name="Dependency" dataDxfId="24"/>
    <tableColumn id="12" xr3:uid="{57EFF7D5-281B-4073-9550-73D369BA3603}" name="Test 1" dataDxfId="23"/>
    <tableColumn id="10" xr3:uid="{886EC4A5-54AE-4612-B5FF-8B6E7B32A853}" name="Test 2" dataDxfId="22"/>
    <tableColumn id="2" xr3:uid="{C5B5DD0C-C82D-4FD9-A165-974B4B54478C}" name="Test 3" dataDxfId="21"/>
    <tableColumn id="9" xr3:uid="{E8B12666-0292-4BAB-9166-E185CB24DBFE}" name="Description" dataDxfId="2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7B96E1E5-F914-134F-92CB-11A246CE83CF}" name="Variable" dataDxfId="9"/>
    <tableColumn id="4" xr3:uid="{769FCB14-07FC-C744-854D-32A560D0AF7A}" name="Value" dataDxfId="8"/>
    <tableColumn id="5" xr3:uid="{72A57B60-A9BA-AE4D-A8F2-15A7CE6E01F2}" name="Unit" dataDxfId="7"/>
    <tableColumn id="6" xr3:uid="{0B5A6A21-E099-944F-B63D-34DD49049A32}" name="Comparisons" dataDxfId="6"/>
    <tableColumn id="7" xr3:uid="{FA5D9905-FBB3-8046-A15F-70FC367F1300}" name="Variable Type" dataDxfId="5"/>
    <tableColumn id="8" xr3:uid="{B5D6DCA6-6A6D-FF4C-8D65-BCD68325F679}" name="Dependency" dataDxfId="4"/>
    <tableColumn id="12" xr3:uid="{6E9A6F79-99F9-4743-BEFC-2D32C4AC335A}" name="Test 1" dataDxfId="3"/>
    <tableColumn id="10" xr3:uid="{C289927B-FF71-D34E-934B-A67BC094E72F}" name="Test 2" dataDxfId="2"/>
    <tableColumn id="2" xr3:uid="{BB8A802E-BB46-104C-AA29-A71DDC86E102}" name="Test 3" dataDxfId="1"/>
    <tableColumn id="9" xr3:uid="{933A5953-2B8A-914C-A6C0-D1761A99B72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109375" defaultRowHeight="15"/>
  <cols>
    <col min="1" max="1" width="12.7109375" customWidth="1"/>
    <col min="2" max="2" width="20.7109375" customWidth="1"/>
    <col min="3" max="3" width="17.28515625" customWidth="1"/>
    <col min="5" max="5" width="12" bestFit="1" customWidth="1"/>
    <col min="10" max="10" width="12.28515625" customWidth="1"/>
    <col min="15" max="15" width="12.7109375" bestFit="1" customWidth="1"/>
    <col min="17" max="17" width="20.7109375" bestFit="1" customWidth="1"/>
    <col min="21" max="21" width="10.425781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104</v>
      </c>
      <c r="U1" t="s">
        <v>105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102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103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65" customHeight="1" zeroHeight="1"/>
  <cols>
    <col min="1" max="2" width="3.28515625" style="39" hidden="1" customWidth="1"/>
    <col min="3" max="3" width="2.42578125" style="39" customWidth="1"/>
    <col min="4" max="4" width="13.7109375" style="39" customWidth="1"/>
    <col min="5" max="5" width="51.28515625" style="40" bestFit="1" customWidth="1"/>
    <col min="6" max="6" width="15.7109375" style="41" bestFit="1" customWidth="1"/>
    <col min="7" max="9" width="13.28515625" style="39" customWidth="1"/>
    <col min="10" max="10" width="48.7109375" style="39" customWidth="1"/>
    <col min="11" max="11" width="2.42578125" style="39" customWidth="1"/>
    <col min="12" max="12" width="0" style="39" hidden="1" customWidth="1"/>
    <col min="13" max="16384" width="9" style="39" hidden="1"/>
  </cols>
  <sheetData>
    <row r="3" spans="4:10" ht="15"/>
    <row r="4" spans="4:10" ht="18.75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5.25">
      <c r="D5" s="55" t="s">
        <v>39</v>
      </c>
      <c r="E5" s="55"/>
      <c r="F5" s="55"/>
      <c r="G5" s="55"/>
      <c r="H5" s="55"/>
      <c r="I5" s="55"/>
      <c r="J5" s="55"/>
    </row>
    <row r="6" spans="4:10" ht="18.75">
      <c r="D6" s="46" t="s">
        <v>33</v>
      </c>
      <c r="E6" s="46" t="s">
        <v>113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6.25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7.5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.75">
      <c r="D9" s="47">
        <v>3</v>
      </c>
      <c r="E9" s="48"/>
      <c r="F9" s="49"/>
      <c r="G9" s="47"/>
      <c r="H9" s="47"/>
      <c r="I9" s="47"/>
      <c r="J9" s="48"/>
    </row>
    <row r="10" spans="4:10" ht="18.75">
      <c r="D10" s="47">
        <v>4</v>
      </c>
      <c r="E10" s="48"/>
      <c r="F10" s="49"/>
      <c r="G10" s="47"/>
      <c r="H10" s="47"/>
      <c r="I10" s="47"/>
      <c r="J10" s="48"/>
    </row>
    <row r="11" spans="4:10" ht="18.75">
      <c r="D11" s="47">
        <v>5</v>
      </c>
      <c r="E11" s="48"/>
      <c r="F11" s="49"/>
      <c r="G11" s="47"/>
      <c r="H11" s="47"/>
      <c r="I11" s="47"/>
      <c r="J11" s="48"/>
    </row>
    <row r="12" spans="4:10" ht="18.75">
      <c r="D12" s="47">
        <v>6</v>
      </c>
      <c r="E12" s="48"/>
      <c r="F12" s="49"/>
      <c r="G12" s="47"/>
      <c r="H12" s="47"/>
      <c r="I12" s="47"/>
      <c r="J12" s="48"/>
    </row>
    <row r="13" spans="4:10" ht="18.75">
      <c r="D13" s="47">
        <v>7</v>
      </c>
      <c r="E13" s="48"/>
      <c r="F13" s="49"/>
      <c r="G13" s="47"/>
      <c r="H13" s="47"/>
      <c r="I13" s="47"/>
      <c r="J13" s="48"/>
    </row>
    <row r="14" spans="4:10" ht="18.75">
      <c r="D14" s="47">
        <v>8</v>
      </c>
      <c r="E14" s="48"/>
      <c r="F14" s="49"/>
      <c r="G14" s="47"/>
      <c r="H14" s="47"/>
      <c r="I14" s="47"/>
      <c r="J14" s="48"/>
    </row>
    <row r="15" spans="4:10" ht="18.75">
      <c r="D15" s="47">
        <v>9</v>
      </c>
      <c r="E15" s="48"/>
      <c r="F15" s="49"/>
      <c r="G15" s="47"/>
      <c r="H15" s="47"/>
      <c r="I15" s="47"/>
      <c r="J15" s="48"/>
    </row>
    <row r="16" spans="4:10" ht="18.75">
      <c r="D16" s="47">
        <v>10</v>
      </c>
      <c r="E16" s="48"/>
      <c r="F16" s="49"/>
      <c r="G16" s="47"/>
      <c r="H16" s="47"/>
      <c r="I16" s="47"/>
      <c r="J16" s="50"/>
    </row>
    <row r="17" ht="15"/>
    <row r="18" ht="15"/>
    <row r="19" ht="15"/>
    <row r="20" ht="15"/>
    <row r="21" ht="15"/>
    <row r="22" ht="15"/>
    <row r="23" ht="15"/>
    <row r="24" ht="15"/>
    <row r="25" ht="15"/>
    <row r="26" ht="15"/>
    <row r="27" ht="15"/>
    <row r="28" ht="15"/>
    <row r="29" ht="15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defaultColWidth="0" defaultRowHeight="14.65" customHeight="1" zeroHeight="1"/>
  <cols>
    <col min="1" max="1" width="17" style="3" bestFit="1" customWidth="1"/>
    <col min="2" max="2" width="22.140625" style="34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6384" width="8.7109375" style="3" hidden="1"/>
  </cols>
  <sheetData>
    <row r="1" spans="1:10" ht="15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.75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IF(COUNTIF(Table11024122[Test 3],1)=COUNTA(Table11024122[Value]),"Ready","Not Ready")</f>
        <v>Ready</v>
      </c>
    </row>
    <row r="5" spans="1:10" ht="14.6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6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6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5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5">
      <c r="A10" s="4" t="s">
        <v>101</v>
      </c>
      <c r="B10" s="32">
        <v>4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5">
      <c r="A11" s="38" t="s">
        <v>114</v>
      </c>
      <c r="B11" s="32">
        <v>298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5">
      <c r="A12" s="4" t="s">
        <v>115</v>
      </c>
      <c r="B12" s="53">
        <v>59.9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5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ubg3VCmjd8AFPQ2L5TdzbgNc/Ha8heJleVe/yJpKQ1il9OIRJb6lSQ/Vc9XuBF7yMAUfjdX55hZJIi4FJoo2Zw==" saltValue="E+wCKXkS1O40h+jdzPdA3g==" spinCount="100000" sheet="1" objects="1" scenarios="1" selectLockedCells="1"/>
  <mergeCells count="2">
    <mergeCell ref="A3:J3"/>
    <mergeCell ref="J4:J8"/>
  </mergeCells>
  <conditionalFormatting sqref="B13">
    <cfRule type="expression" dxfId="95" priority="44">
      <formula>IF(AND($B13&lt;&gt;"",$I13=0),1,0)</formula>
    </cfRule>
    <cfRule type="expression" dxfId="94" priority="45">
      <formula>IF($B13&lt;&gt;"",1,0)</formula>
    </cfRule>
    <cfRule type="expression" dxfId="93" priority="46">
      <formula>$I13=0</formula>
    </cfRule>
  </conditionalFormatting>
  <conditionalFormatting sqref="B10">
    <cfRule type="expression" dxfId="92" priority="35">
      <formula>IF(AND($B10&lt;&gt;"",$I10=0),1,0)</formula>
    </cfRule>
    <cfRule type="expression" dxfId="91" priority="36">
      <formula>IF($B10&lt;&gt;"",1,0)</formula>
    </cfRule>
    <cfRule type="expression" dxfId="90" priority="37">
      <formula>$I10=0</formula>
    </cfRule>
  </conditionalFormatting>
  <conditionalFormatting sqref="B11">
    <cfRule type="expression" dxfId="89" priority="5">
      <formula>IF(AND($B11&lt;&gt;"",$I11=0),1,0)</formula>
    </cfRule>
    <cfRule type="expression" dxfId="88" priority="6">
      <formula>IF($B11&lt;&gt;"",1,0)</formula>
    </cfRule>
    <cfRule type="expression" dxfId="87" priority="7">
      <formula>$I11=0</formula>
    </cfRule>
  </conditionalFormatting>
  <conditionalFormatting sqref="J4">
    <cfRule type="expression" dxfId="86" priority="2250">
      <formula>IF(COUNTA($B$10:$B$13)&lt;&gt;COUNTIF($I$10:$I$13,1),1,0)</formula>
    </cfRule>
    <cfRule type="expression" dxfId="85" priority="2251">
      <formula>IF(COUNTA($B$10:$B$13)=COUNTIF($I$10:$I$13,1),1,0)</formula>
    </cfRule>
  </conditionalFormatting>
  <conditionalFormatting sqref="B12">
    <cfRule type="notContainsBlanks" dxfId="84" priority="1">
      <formula>LEN(TRIM(B12))&gt;0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O1048576"/>
    </sheetView>
  </sheetViews>
  <sheetFormatPr defaultColWidth="0" defaultRowHeight="14.65" customHeight="1" zeroHeight="1"/>
  <cols>
    <col min="1" max="1" width="17" style="3" bestFit="1" customWidth="1"/>
    <col min="2" max="2" width="22.140625" style="34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1" width="0" style="3" hidden="1" customWidth="1"/>
    <col min="12" max="16384" width="8.7109375" style="3" hidden="1"/>
  </cols>
  <sheetData>
    <row r="1" spans="1:10" ht="15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.75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IF(COUNTIF(Table11024123[Test 3],1)=COUNTA(Table11024123[Value]),"Ready","Not Ready")</f>
        <v>Ready</v>
      </c>
    </row>
    <row r="5" spans="1:10" ht="14.6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6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6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5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5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5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5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5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Pf8fsiUkfKCDuFYAl6e7ENWxDcbBNzRyggCX4UUfWNi/ghLrnwe23ExBMzkSWJq7fBMxNpW9KSztn+ZrWL3TJw==" saltValue="Ba+L6wvnNxG14nnpajKNSA==" spinCount="100000" sheet="1" objects="1" scenarios="1" selectLockedCells="1"/>
  <mergeCells count="2">
    <mergeCell ref="A3:J3"/>
    <mergeCell ref="J4:J8"/>
  </mergeCells>
  <conditionalFormatting sqref="B13">
    <cfRule type="expression" dxfId="68" priority="31">
      <formula>IF(AND($B13&lt;&gt;"",$I13=0),1,0)</formula>
    </cfRule>
    <cfRule type="expression" dxfId="67" priority="32">
      <formula>IF($B13&lt;&gt;"",1,0)</formula>
    </cfRule>
    <cfRule type="expression" dxfId="66" priority="33">
      <formula>$I13=0</formula>
    </cfRule>
  </conditionalFormatting>
  <conditionalFormatting sqref="B10:B12">
    <cfRule type="expression" dxfId="65" priority="1">
      <formula>IF(AND($B10&lt;&gt;"",$I10=0),1,0)</formula>
    </cfRule>
    <cfRule type="expression" dxfId="64" priority="2">
      <formula>IF($B10&lt;&gt;"",1,0)</formula>
    </cfRule>
    <cfRule type="expression" dxfId="63" priority="3">
      <formula>$I10=0</formula>
    </cfRule>
  </conditionalFormatting>
  <conditionalFormatting sqref="J4">
    <cfRule type="expression" dxfId="62" priority="2251">
      <formula>IF(COUNTA($B$10:$B$13)&lt;&gt;COUNTIF($I$10:$I$13,1),1,0)</formula>
    </cfRule>
    <cfRule type="expression" dxfId="61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:B13"/>
    </sheetView>
  </sheetViews>
  <sheetFormatPr defaultColWidth="0" defaultRowHeight="14.65" customHeight="1" zeroHeight="1"/>
  <cols>
    <col min="1" max="1" width="17" style="3" bestFit="1" customWidth="1"/>
    <col min="2" max="2" width="22.140625" style="34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1" width="0" style="3" hidden="1" customWidth="1"/>
    <col min="12" max="16384" width="8.7109375" style="3" hidden="1"/>
  </cols>
  <sheetData>
    <row r="1" spans="1:10" ht="15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.75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IF(COUNTIF(Table1102412[Test 3],1)=COUNTA(Table1102412[Value]),"Ready","Not Ready")</f>
        <v>Not Ready</v>
      </c>
    </row>
    <row r="5" spans="1:10" ht="14.6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6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6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5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30">
      <c r="A10" s="38" t="s">
        <v>119</v>
      </c>
      <c r="B10" s="32">
        <v>10</v>
      </c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0</v>
      </c>
      <c r="J10" s="5" t="s">
        <v>136</v>
      </c>
    </row>
    <row r="11" spans="1:10" ht="30">
      <c r="A11" s="38" t="s">
        <v>120</v>
      </c>
      <c r="B11" s="32">
        <v>1E-4</v>
      </c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0</v>
      </c>
      <c r="J11" s="5" t="s">
        <v>137</v>
      </c>
    </row>
    <row r="12" spans="1:10" ht="15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5">
      <c r="A13" s="38" t="s">
        <v>122</v>
      </c>
      <c r="B13" s="32">
        <v>502.32</v>
      </c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0</v>
      </c>
      <c r="J13" s="5" t="s">
        <v>139</v>
      </c>
    </row>
    <row r="14" spans="1:10" ht="15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YF9jGvgRNstzpxLNDONJi1PgGIgG/2p7Af4quhilO5WilC2JgGyIrb9/QJRJTU0L5xd22vay9ghSBYVqKTeL1Q==" saltValue="LPuj62xs7VF5e31HhYNGWw==" spinCount="100000" sheet="1" objects="1" scenarios="1" selectLockedCells="1"/>
  <mergeCells count="2">
    <mergeCell ref="A3:J3"/>
    <mergeCell ref="J4:J8"/>
  </mergeCells>
  <conditionalFormatting sqref="B14">
    <cfRule type="expression" dxfId="45" priority="94">
      <formula>IF(AND($B14&lt;&gt;"",$I14=0),1,0)</formula>
    </cfRule>
    <cfRule type="expression" dxfId="44" priority="95">
      <formula>IF($B14&lt;&gt;"",1,0)</formula>
    </cfRule>
    <cfRule type="expression" dxfId="43" priority="96">
      <formula>$I14=0</formula>
    </cfRule>
  </conditionalFormatting>
  <conditionalFormatting sqref="B10:B11">
    <cfRule type="expression" dxfId="42" priority="1">
      <formula>IF(AND($B10&lt;&gt;"",$I10=0),1,0)</formula>
    </cfRule>
    <cfRule type="expression" dxfId="41" priority="2">
      <formula>IF($B10&lt;&gt;"",1,0)</formula>
    </cfRule>
    <cfRule type="expression" dxfId="40" priority="3">
      <formula>$I10=0</formula>
    </cfRule>
  </conditionalFormatting>
  <conditionalFormatting sqref="B12:B13">
    <cfRule type="expression" dxfId="39" priority="4">
      <formula>IF(AND($B12&lt;&gt;"",$I12=0),1,0)</formula>
    </cfRule>
    <cfRule type="expression" dxfId="38" priority="5">
      <formula>IF($B12&lt;&gt;"",1,0)</formula>
    </cfRule>
    <cfRule type="expression" dxfId="37" priority="6">
      <formula>$I12=0</formula>
    </cfRule>
  </conditionalFormatting>
  <conditionalFormatting sqref="J4">
    <cfRule type="expression" dxfId="36" priority="2253">
      <formula>IF(COUNTA($B$10:$B$14)&lt;&gt;COUNTIF($I$10:$I$14,1),1,0)</formula>
    </cfRule>
    <cfRule type="expression" dxfId="35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zoomScaleNormal="100" zoomScaleSheetLayoutView="85" workbookViewId="0">
      <pane ySplit="9" topLeftCell="A10" activePane="bottomLeft" state="frozen"/>
      <selection activeCell="C24" sqref="C24"/>
      <selection pane="bottomLeft" activeCell="B10" sqref="B10"/>
    </sheetView>
  </sheetViews>
  <sheetFormatPr defaultColWidth="0" defaultRowHeight="14.65" customHeight="1" zeroHeight="1"/>
  <cols>
    <col min="1" max="1" width="17" style="3" bestFit="1" customWidth="1"/>
    <col min="2" max="2" width="22.140625" style="34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hidden="1" customWidth="1"/>
    <col min="7" max="9" width="15" style="3" hidden="1" customWidth="1"/>
    <col min="10" max="10" width="57.42578125" style="3" customWidth="1"/>
    <col min="11" max="16" width="0" style="3" hidden="1" customWidth="1"/>
    <col min="17" max="16384" width="0" style="3" hidden="1"/>
  </cols>
  <sheetData>
    <row r="1" spans="1:10" ht="15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.75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IF(COUNTIF(Table11024124[Test 3],1)=COUNTA(Table11024124[Value]),"Ready","Not Ready")</f>
        <v>Ready</v>
      </c>
    </row>
    <row r="5" spans="1:10" ht="14.65" customHeight="1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65" customHeight="1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65" customHeight="1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5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5">
      <c r="A10" s="38" t="s">
        <v>127</v>
      </c>
      <c r="B10" s="53"/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4">
        <f>[1]Initialization!$B$12</f>
        <v>0</v>
      </c>
      <c r="J10" s="5" t="s">
        <v>128</v>
      </c>
    </row>
    <row r="11" spans="1:10" ht="15">
      <c r="A11" s="38" t="s">
        <v>126</v>
      </c>
      <c r="B11" s="32"/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0</v>
      </c>
      <c r="J11" s="5" t="s">
        <v>129</v>
      </c>
    </row>
    <row r="12" spans="1:10" ht="30">
      <c r="A12" s="38" t="s">
        <v>125</v>
      </c>
      <c r="B12" s="51"/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0</v>
      </c>
      <c r="J12" s="5" t="s">
        <v>130</v>
      </c>
    </row>
    <row r="13" spans="1:10" ht="15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XuHQFpMbQ0MRXBc/Qe0yU5p7aONbNFF3EZdFRJUgUKFuUZ0D3lkV3uCeiHFPG2Te7Tbm2xrq8c6f/pnkvgbQgw==" saltValue="KdwLlslmDq2cJ9VZ9SVQzw==" spinCount="100000" sheet="1" objects="1" scenarios="1" selectLockedCells="1"/>
  <mergeCells count="2">
    <mergeCell ref="A3:J3"/>
    <mergeCell ref="J4:J8"/>
  </mergeCells>
  <conditionalFormatting sqref="J4">
    <cfRule type="expression" dxfId="19" priority="2259">
      <formula>IF(COUNTA($B$10:$B$13)&lt;&gt;COUNTIF($I$10:$I$13,1),1,0)</formula>
    </cfRule>
    <cfRule type="expression" dxfId="18" priority="2260">
      <formula>IF(COUNTA($B$10:$B$13)=COUNTIF($I$10:$I$13,1),1,0)</formula>
    </cfRule>
  </conditionalFormatting>
  <conditionalFormatting sqref="B10:B13">
    <cfRule type="expression" dxfId="17" priority="8">
      <formula>IF(AND($B10&lt;&gt;"",$I10=0),1,0)</formula>
    </cfRule>
    <cfRule type="expression" dxfId="16" priority="9">
      <formula>IF($B10&lt;&gt;"",1,0)</formula>
    </cfRule>
    <cfRule type="expression" dxfId="15" priority="10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109375" defaultRowHeight="15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109375" defaultRowHeight="15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4</v>
      </c>
      <c r="B2">
        <v>298</v>
      </c>
      <c r="C2">
        <v>59.9</v>
      </c>
      <c r="E2">
        <v>20</v>
      </c>
      <c r="F2">
        <v>20.5</v>
      </c>
      <c r="G2">
        <v>33.800769771555913</v>
      </c>
      <c r="I2">
        <v>10</v>
      </c>
      <c r="J2">
        <v>1E-4</v>
      </c>
      <c r="K2">
        <v>7.8300000000000002E-3</v>
      </c>
      <c r="L2">
        <v>502.32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109375" defaultRowHeight="15"/>
  <sheetData>
    <row r="1" spans="1:17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Viktor Kalman</cp:lastModifiedBy>
  <cp:lastPrinted>2020-11-27T00:08:43Z</cp:lastPrinted>
  <dcterms:created xsi:type="dcterms:W3CDTF">2020-11-24T18:36:54Z</dcterms:created>
  <dcterms:modified xsi:type="dcterms:W3CDTF">2023-09-21T13:09:36Z</dcterms:modified>
</cp:coreProperties>
</file>